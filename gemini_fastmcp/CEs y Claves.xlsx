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ves" sheetId="1" r:id="rId4"/>
    <sheet state="visible" name="Infantil" sheetId="2" r:id="rId5"/>
    <sheet state="visible" name="Primaria" sheetId="3" r:id="rId6"/>
    <sheet state="visible" name="Secundaria" sheetId="4" r:id="rId7"/>
    <sheet state="visible" name="Bachillerato" sheetId="5" r:id="rId8"/>
    <sheet state="visible" name="Todos" sheetId="6" r:id="rId9"/>
  </sheets>
  <definedNames/>
  <calcPr/>
</workbook>
</file>

<file path=xl/sharedStrings.xml><?xml version="1.0" encoding="utf-8"?>
<sst xmlns="http://schemas.openxmlformats.org/spreadsheetml/2006/main" count="2656" uniqueCount="514">
  <si>
    <t>Clave</t>
  </si>
  <si>
    <t>Código</t>
  </si>
  <si>
    <t>Descripción_Resumen</t>
  </si>
  <si>
    <t>Competencia en comunicación lingüística</t>
  </si>
  <si>
    <t>CCL1</t>
  </si>
  <si>
    <t>Expresión oral, escrita, signada o multimodal.</t>
  </si>
  <si>
    <t>CCL2</t>
  </si>
  <si>
    <t>Comprensión e interpretación de textos.</t>
  </si>
  <si>
    <t>CCL3</t>
  </si>
  <si>
    <t>Búsqueda, selección y tratamiento de información.</t>
  </si>
  <si>
    <t>CCL4</t>
  </si>
  <si>
    <t>Competencia literaria y lectura.</t>
  </si>
  <si>
    <t>CCL5</t>
  </si>
  <si>
    <t>Uso ético, inclusivo y democrático del lenguaje.</t>
  </si>
  <si>
    <t>Competencia plurilingüe</t>
  </si>
  <si>
    <t>CP1</t>
  </si>
  <si>
    <t>Uso básico de al menos una lengua adicional.</t>
  </si>
  <si>
    <t>CP2</t>
  </si>
  <si>
    <t>Transferencias entre lenguas y estrategias plurilingües.</t>
  </si>
  <si>
    <t>CP3</t>
  </si>
  <si>
    <t>Valoración de la diversidad lingüística y cultural.</t>
  </si>
  <si>
    <t>Competencia matemática y competencia en ciencia, tecnología e ingeniería</t>
  </si>
  <si>
    <t>STEM1</t>
  </si>
  <si>
    <t>Razonamiento matemático y resolución de problemas.</t>
  </si>
  <si>
    <t>STEM2</t>
  </si>
  <si>
    <t>Pensamiento científico: observar, preguntar, experimentar.</t>
  </si>
  <si>
    <t>STEM3</t>
  </si>
  <si>
    <t>Diseño y realización de proyectos y prototipos.</t>
  </si>
  <si>
    <t>STEM4</t>
  </si>
  <si>
    <t>Comunicación y representación científica y matemática.</t>
  </si>
  <si>
    <t>STEM5</t>
  </si>
  <si>
    <t>Salud, sostenibilidad y acción responsable sobre el entorno.</t>
  </si>
  <si>
    <t>Competencia digital</t>
  </si>
  <si>
    <t>CD1</t>
  </si>
  <si>
    <t>Búsqueda y tratamiento de información digital.</t>
  </si>
  <si>
    <t>CD2</t>
  </si>
  <si>
    <t>Creación e integración de contenidos digitales.</t>
  </si>
  <si>
    <t>CD3</t>
  </si>
  <si>
    <t>Trabajo cooperativo y comunicación en entornos digitales.</t>
  </si>
  <si>
    <t>CD4</t>
  </si>
  <si>
    <t>Uso seguro, crítico y saludable de la tecnología.</t>
  </si>
  <si>
    <t>CD5</t>
  </si>
  <si>
    <t>Soluciones digitales y pensamiento computacional.</t>
  </si>
  <si>
    <t>Competencia personal, social y de aprender a aprender</t>
  </si>
  <si>
    <t>CPSAA1</t>
  </si>
  <si>
    <t>Conciencia y gestión personal y emocional.</t>
  </si>
  <si>
    <t>CPSAA2</t>
  </si>
  <si>
    <t>Salud física y mental.</t>
  </si>
  <si>
    <t>CPSAA3</t>
  </si>
  <si>
    <t>Empatía, convivencia y resolución pacífica.</t>
  </si>
  <si>
    <t>CPSAA4</t>
  </si>
  <si>
    <t>Metacognición, planificación y autorregulación.</t>
  </si>
  <si>
    <t>CPSAA5</t>
  </si>
  <si>
    <t>Motivación, colaboración y aprendizaje continuo.</t>
  </si>
  <si>
    <t>Competencia ciudadana</t>
  </si>
  <si>
    <t>CC1</t>
  </si>
  <si>
    <t>Participación democrática y normas sociales.</t>
  </si>
  <si>
    <t>CC2</t>
  </si>
  <si>
    <t>Valores, derechos y deberes.</t>
  </si>
  <si>
    <t>CC3</t>
  </si>
  <si>
    <t>Compromiso social y mejora del entorno.</t>
  </si>
  <si>
    <t>Competencia emprendedora</t>
  </si>
  <si>
    <t>CE1</t>
  </si>
  <si>
    <t>Iniciativa, curiosidad e identificación de oportunidades.</t>
  </si>
  <si>
    <t>CE2</t>
  </si>
  <si>
    <t>Diseño y desarrollo de proyectos.</t>
  </si>
  <si>
    <t>CE3</t>
  </si>
  <si>
    <t>Evaluación, revisión y mejora de proyectos.</t>
  </si>
  <si>
    <t>Competencia en conciencia y expresión culturales</t>
  </si>
  <si>
    <t>CEC1</t>
  </si>
  <si>
    <t>Comprensión y valoración de manifestaciones culturales y artísticas.</t>
  </si>
  <si>
    <t>CEC2</t>
  </si>
  <si>
    <t>Creación artística y expresión personal.</t>
  </si>
  <si>
    <t>CEC3</t>
  </si>
  <si>
    <t>Participación en actividades culturales con actitud crítica y respetuosa.</t>
  </si>
  <si>
    <t>Área</t>
  </si>
  <si>
    <t>Código del Objetivo</t>
  </si>
  <si>
    <t>IA CÓD</t>
  </si>
  <si>
    <t>Descripción de Objetivo</t>
  </si>
  <si>
    <t>Conocimiento de sí mismo y autonomía personal</t>
  </si>
  <si>
    <t>O1</t>
  </si>
  <si>
    <t>Desarrollar una imagen positiva y ajustada de sí mismo, mostrando confianza en sus capacidades y sentimiento de pertenencia al grupo.</t>
  </si>
  <si>
    <t>O2</t>
  </si>
  <si>
    <t>Progresar en la adquisición de hábitos de autonomía en la realización de actividades cotidianas y en el cuidado personal.</t>
  </si>
  <si>
    <t>O3</t>
  </si>
  <si>
    <t>Identificar, expresar y regular progresivamente las propias emociones y sentimientos en situaciones cotidianas.</t>
  </si>
  <si>
    <t>O4</t>
  </si>
  <si>
    <t>Desarrollar habilidades sociales básicas para relacionarse, cooperar y resolver conflictos de forma pacífica.</t>
  </si>
  <si>
    <t>O5</t>
  </si>
  <si>
    <t>Adquirir pautas de comportamiento relacionadas con la seguridad y el bienestar físico y emocional.</t>
  </si>
  <si>
    <t>Conocimiento del entorno</t>
  </si>
  <si>
    <t>Observar y explorar de forma activa su entorno, formulando preguntas y mostrando interés por comprenderlo.</t>
  </si>
  <si>
    <t>Identificar elementos, seres vivos y fenómenos del entorno, estableciendo relaciones sencillas entre ellos.</t>
  </si>
  <si>
    <t>Iniciarse en la resolución de problemas cotidianos mediante estrategias intuitivas y manipulativas.</t>
  </si>
  <si>
    <t>Participar en actividades que promovan el cuidado, respeto y protección del entorno y los seres vivos.</t>
  </si>
  <si>
    <t>Reconocer formas, cantidades, medidas y relaciones espaciales en objetos y situaciones del entorno.</t>
  </si>
  <si>
    <t>Lenguajes: comunicación y representación</t>
  </si>
  <si>
    <t>Comprender y producir mensajes orales adecuados a distintas situaciones comunicativas cotidianas.</t>
  </si>
  <si>
    <t>Aproximarse a la lectura y la escritura a través de prácticas funcionales y experiencias significativas.</t>
  </si>
  <si>
    <t>Expresarse mediante diferentes lenguajes artísticos, desarrollando la creatividad y la sensibilidad estética.</t>
  </si>
  <si>
    <t>Descubrir y utilizar herramientas digitales de manera acompañada y segura.</t>
  </si>
  <si>
    <t>Participar en interacciones comunicativas mostrando actitudes de respeto, escucha y cooperación.</t>
  </si>
  <si>
    <t>Código de la Competencia Específica</t>
  </si>
  <si>
    <t>Descripción de la Competencia Específica</t>
  </si>
  <si>
    <t>Competencias Clave Asociadas</t>
  </si>
  <si>
    <t>Lengua Castellana y Literatura</t>
  </si>
  <si>
    <t>Comprender e interpretar textos orales y multimodales, reconociendo la intención comunicativa y las ideas principales.</t>
  </si>
  <si>
    <t>CCL2, CCL5</t>
  </si>
  <si>
    <t>Producir textos orales coherentes y adecuados, participando activamente en situaciones comunicativas y mostrando escucha activa.</t>
  </si>
  <si>
    <t>CCL1, CCL5</t>
  </si>
  <si>
    <t>Comprender, interpretar y valorar textos escritos, identificando ideas clave y estructura básica.</t>
  </si>
  <si>
    <t>CCL2, CCL3</t>
  </si>
  <si>
    <t>CE4</t>
  </si>
  <si>
    <t>Producir textos escritos coherentes, con distintas finalidades comunicativas, utilizando recursos básicos de planificación y revisión.</t>
  </si>
  <si>
    <t>CCL1, CCL3</t>
  </si>
  <si>
    <t>CE5</t>
  </si>
  <si>
    <t>Desarrollar la competencia literaria mediante la lectura guiada de obras diversas, expresando opiniones y recreando textos de intención literaria.</t>
  </si>
  <si>
    <t>CCL4, CEC2</t>
  </si>
  <si>
    <t>CE6</t>
  </si>
  <si>
    <t>Reflexionar sobre la lengua y sus normas de uso para mejorar la comunicación, identificando elementos básicos morfosintácticos y ortográficos.</t>
  </si>
  <si>
    <t>CE7</t>
  </si>
  <si>
    <t>Movilizar estrategias de búsqueda, selección y análisis crítico de información en diferentes soportes.</t>
  </si>
  <si>
    <t>CD1, CCL3</t>
  </si>
  <si>
    <t>CE8</t>
  </si>
  <si>
    <t>Aplicar actitudes de respeto, inclusión y cooperación en interacciones comunicativas, evitando usos discriminatorios del lenguaje.</t>
  </si>
  <si>
    <t>CCL5, CC, CPSAA</t>
  </si>
  <si>
    <t>Matemáticas</t>
  </si>
  <si>
    <t>Reconocer, describir y representar situaciones matemáticas sencillas utilizando números naturales, operaciones básicas y expresiones matemáticas elementales.</t>
  </si>
  <si>
    <t>Resolver problemas sencillos de la vida cotidiana aplicando estrategias básicas de razonamiento matemático y comprobando la validez de las soluciones.</t>
  </si>
  <si>
    <t>STEM1, STEM4</t>
  </si>
  <si>
    <t>Identificar y describir elementos geométricos básicos y relaciones espaciales presentes en objetos y entornos cercanos.</t>
  </si>
  <si>
    <t>Interpretar y representar datos sencillos mediante tablas, gráficos y otros formatos visuales.</t>
  </si>
  <si>
    <t>STEM4, CD1</t>
  </si>
  <si>
    <t>Utilizar herramientas digitales guiadas para explorar, modelizar y representar ideas matemáticas básicas.</t>
  </si>
  <si>
    <t>CD2, STEM4</t>
  </si>
  <si>
    <t>Mostrar actitudes de perseverancia, colaboración y pensamiento crítico al enfrentarse a tareas matemáticas.</t>
  </si>
  <si>
    <t>CPSAA, STEM1</t>
  </si>
  <si>
    <t>Ciencias de la Naturaleza</t>
  </si>
  <si>
    <t>Analizar fenómenos del entorno natural mediante la observación guiada, la formulación de preguntas y la búsqueda de información en diversas fuentes.</t>
  </si>
  <si>
    <t>STEM2, CD1</t>
  </si>
  <si>
    <t>Realizar experimentos sencillos siguiendo pautas de seguridad, registrando observaciones y resultados de manera ordenada.</t>
  </si>
  <si>
    <t>STEM2, STEM4</t>
  </si>
  <si>
    <t>Identificar y describir seres vivos, materiales y elementos del entorno, estableciendo relaciones básicas entre ellos.</t>
  </si>
  <si>
    <t>Adoptar hábitos saludables relacionados con la alimentación, la actividad física y la higiene, reconociendo factores que influyen en la salud.</t>
  </si>
  <si>
    <t>STEM5, CPSAA</t>
  </si>
  <si>
    <t>Participar en acciones de cuidado del entorno y uso sostenible de los recursos naturales.</t>
  </si>
  <si>
    <t>STEM5, CC</t>
  </si>
  <si>
    <t>Utilizar herramientas digitales de forma guiada para obtener, registrar y comunicar información científica básica.</t>
  </si>
  <si>
    <t>CD1, CD2, STEM4</t>
  </si>
  <si>
    <t>Ciencias Sociales</t>
  </si>
  <si>
    <t>Comprender hechos, procesos y cambios sociales y geográficos del entorno próximo y del mundo, utilizando fuentes diversas de información.</t>
  </si>
  <si>
    <t>CC, STEM3, CD1</t>
  </si>
  <si>
    <t>Identificar e interpretar representaciones del espacio (mapas, planos, maquetas) para orientarse y comprender la organización del territorio.</t>
  </si>
  <si>
    <t>Reconocer instituciones, normas y valores democráticos, participando en la vida del aula y del centro con actitudes de respeto y responsabilidad.</t>
  </si>
  <si>
    <t>CC, CPSAA</t>
  </si>
  <si>
    <t>Analizar manifestaciones culturales y artísticas como parte del patrimonio común, mostrando interés y respeto por su diversidad.</t>
  </si>
  <si>
    <t>CEC1, CC</t>
  </si>
  <si>
    <t>Participar en la planificación y realización de proyectos cooperativos relacionados con el entorno social y natural.</t>
  </si>
  <si>
    <t>CE, CC, CPSAA</t>
  </si>
  <si>
    <t>Utilizar herramientas digitales para buscar, organizar y presentar información relacionada con hechos sociales y geográficos.</t>
  </si>
  <si>
    <t>Lengua Extranjera</t>
  </si>
  <si>
    <t>Comprender mensajes orales sencillos sobre temas familiares y cotidianos, utilizando estrategias básicas de comprensión.</t>
  </si>
  <si>
    <t>CP1, CCL2</t>
  </si>
  <si>
    <t>Expresarse oralmente de forma sencilla y comprensible en situaciones comunicativas conocidas, utilizando expresiones básicas.</t>
  </si>
  <si>
    <t>CP1, CCL1</t>
  </si>
  <si>
    <t>Comprender textos escritos breves y sencillos relacionados con situaciones cotidianas.</t>
  </si>
  <si>
    <t>Producir textos escritos muy simples para comunicar ideas básicas en contextos familiares.</t>
  </si>
  <si>
    <t>Mostrar interés por conocer otras lenguas y culturas, valorando la diversidad lingüística y cultural.</t>
  </si>
  <si>
    <t>CP3, CC</t>
  </si>
  <si>
    <t>Utilizar recursos digitales de forma guiada para apoyar la comprensión y producción de mensajes en lengua extranjera.</t>
  </si>
  <si>
    <t>CD2, CP2</t>
  </si>
  <si>
    <t>Educación Artística</t>
  </si>
  <si>
    <t>Explorar y experimentar con diferentes materiales, herramientas y técnicas artísticas para expresar emociones, ideas y vivencias.</t>
  </si>
  <si>
    <t>CEC2, CPSAA</t>
  </si>
  <si>
    <t>Crear producciones artísticas individuales y colectivas mostrando creatividad, cuidado y respeto por el proceso y los materiales.</t>
  </si>
  <si>
    <t>CEC2, CE</t>
  </si>
  <si>
    <t>Apreciar manifestaciones artísticas diversas, reconociendo su valor cultural y expresivo.</t>
  </si>
  <si>
    <t>Utilizar el cuerpo, la voz y otros recursos expresivos para comunicar emociones y narraciones sencillas.</t>
  </si>
  <si>
    <t>CEC2, CCL1</t>
  </si>
  <si>
    <t>Usar herramientas digitales básicas para crear y presentar producciones artísticas.</t>
  </si>
  <si>
    <t>CD2, CEC2</t>
  </si>
  <si>
    <t>Educación Física</t>
  </si>
  <si>
    <t>Comprender y practicar habilidades motrices básicas en diferentes situaciones y actividades físicas.</t>
  </si>
  <si>
    <t>Participar activamente en juegos y actividades físicas, respetando normas y mostrando actitudes de cooperación y deportividad.</t>
  </si>
  <si>
    <t>CPSAA, CC</t>
  </si>
  <si>
    <t>Adoptar hábitos saludables relacionados con la actividad física, la alimentación, el descanso y la higiene.</t>
  </si>
  <si>
    <t>Reconocer y gestionar emociones durante la práctica de actividad física, mostrando autocontrol y empatía.</t>
  </si>
  <si>
    <t>CPSAA</t>
  </si>
  <si>
    <t>Utilizar recursos digitales básicos para apoyar el aprendizaje y registro de la actividad física.</t>
  </si>
  <si>
    <t>CD1, CD2</t>
  </si>
  <si>
    <t>Valores Cívicos y Éticos</t>
  </si>
  <si>
    <t>Comprender y practicar valores fundamentales como el respeto, la igualdad, la justicia y la solidaridad en situaciones cotidianas.</t>
  </si>
  <si>
    <t>Participar en la vida del aula y del centro de manera responsable, cooperativa y democrática.</t>
  </si>
  <si>
    <t>Identificar situaciones de discriminación o maltrato y adoptar conductas de rechazo y denuncia.</t>
  </si>
  <si>
    <t>Reconocer la diversidad cultural, social y personal como un valor enriquecedor para la convivencia.</t>
  </si>
  <si>
    <t>CC, CEC1</t>
  </si>
  <si>
    <t>Promover el cuidado del entorno y el uso sostenible de los recursos mediante acciones responsables.</t>
  </si>
  <si>
    <t>Lengua Cooficial y Literatura</t>
  </si>
  <si>
    <t>Comprender e interpretar textos orales sencillos en la lengua cooficial, distinguiendo ideas principales y secundarias.</t>
  </si>
  <si>
    <t>CCL2, CP1</t>
  </si>
  <si>
    <t>Expresarse oralmente en la lengua cooficial con progresiva claridad y adecuación en situaciones comunicativas habituales.</t>
  </si>
  <si>
    <t>CCL1, CP1</t>
  </si>
  <si>
    <t>Comprender textos escritos sencillos en la lengua cooficial, utilizando estrategias básicas de comprensión.</t>
  </si>
  <si>
    <t>Producir textos escritos breves con finalidad comunicativa básica, aplicando normas ortográficas elementales.</t>
  </si>
  <si>
    <t>Apreciar obras literarias en la lengua cooficial apropiadas al nivel, manifestando interés por la lectura.</t>
  </si>
  <si>
    <t>CCL4, CEC1</t>
  </si>
  <si>
    <t>Valorar la lengua cooficial como parte del patrimonio cultural y vehículo de comunicación y convivencia.</t>
  </si>
  <si>
    <t>Materia</t>
  </si>
  <si>
    <t>Comprender e interpretar textos orales, escritos y multimodales de creciente complejidad, identificando su propósito, estructura e información relevante.</t>
  </si>
  <si>
    <t>Producir textos orales y escritos coherentes, cohesionados y adecuados a diferentes situaciones comunicativas, aplicando estrategias de planificación, revisión y corrección.</t>
  </si>
  <si>
    <t>Analizar y valorar textos literarios de distintas épocas y tradiciones, relacionándolos con sus contextos y manifestando una respuesta personal.</t>
  </si>
  <si>
    <t>Reflexionar sobre el funcionamiento de la lengua para mejorar la comunicación y facilitar el aprendizaje de otros conocimientos.</t>
  </si>
  <si>
    <t>Buscar, seleccionar y comparar información procedente de diversas fuentes, evaluando su fiabilidad y organizándola para crear conocimiento.</t>
  </si>
  <si>
    <t>Utilizar la lengua de manera ética, inclusiva y responsable, detectando usos discriminatorios y contribuyendo a la convivencia democrática.</t>
  </si>
  <si>
    <t>Geografía e Historia</t>
  </si>
  <si>
    <t>Analizar hechos, procesos y estructuras históricas y geográficas para comprender la evolución de las sociedades y su organización en el espacio.</t>
  </si>
  <si>
    <t>CC, STEM2</t>
  </si>
  <si>
    <t>Interpretar y elaborar representaciones cartográficas y gráficas para comprender fenómenos territoriales y sociales.</t>
  </si>
  <si>
    <t>Comprender el funcionamiento de las instituciones democráticas y participar de forma responsable en la vida social y cívica.</t>
  </si>
  <si>
    <t>CC</t>
  </si>
  <si>
    <t>Reconocer el patrimonio natural y cultural, valorándolo como fuente de identidad y fomentando su protección.</t>
  </si>
  <si>
    <t>Buscar, seleccionar y contrastar información histórica y geográfica de diversas fuentes, aplicando pensamiento crítico.</t>
  </si>
  <si>
    <t>CD1, CC, CPSAA</t>
  </si>
  <si>
    <t>Participar en proyectos cooperativos que analicen problemas sociales o ambientales del entorno cercano.</t>
  </si>
  <si>
    <t>Utilizar el razonamiento matemático para resolver problemas en situaciones diversas, seleccionando estrategias y verificando resultados.</t>
  </si>
  <si>
    <t>Representar e interpretar información cuantitativa mediante funciones, gráficos, tablas y otros modelos matemáticos.</t>
  </si>
  <si>
    <t>Comprender y aplicar conceptos y procedimientos relacionados con números, álgebra, geometría y estadística.</t>
  </si>
  <si>
    <t>Utilizar herramientas tecnológicas para explorar y modelizar relaciones matemáticas.</t>
  </si>
  <si>
    <t>Mostrar perseverancia, pensamiento crítico y colaboración en la resolución de tareas matemáticas.</t>
  </si>
  <si>
    <t>Biología y Geología</t>
  </si>
  <si>
    <t>Comprender procesos biológicos y geológicos fundamentales mediante la observación, el análisis y el uso de modelos científicos.</t>
  </si>
  <si>
    <t>Realizar investigaciones sencillas formulando preguntas, hipótesis y registrando datos con rigor.</t>
  </si>
  <si>
    <t>Identificar la estructura y funcionamiento del cuerpo humano promoviendo hábitos de vida saludable.</t>
  </si>
  <si>
    <t>Valorar la biodiversidad y el impacto humano en los ecosistemas, participando en acciones de sostenibilidad.</t>
  </si>
  <si>
    <t>Utilizar herramientas digitales para procesar y comunicar información científica.</t>
  </si>
  <si>
    <t>Física y Química</t>
  </si>
  <si>
    <t>Comprender conceptos y principios básicos de física y química para explicar fenómenos naturales y tecnológicos.</t>
  </si>
  <si>
    <t>Aplicar el método científico para investigar problemas sencillos, realizando mediciones y registrando datos.</t>
  </si>
  <si>
    <t>Resolver problemas cuantitativos utilizando modelos, fórmulas y razonamiento lógico.</t>
  </si>
  <si>
    <t>Evaluar el uso responsable de la energía, los materiales y la tecnología para promover la sostenibilidad.</t>
  </si>
  <si>
    <t>Utilizar recursos digitales para simular, representar y comunicar resultados científicos.</t>
  </si>
  <si>
    <t>Educación Plástica, Visual y Audiovisual</t>
  </si>
  <si>
    <t>Analizar imágenes, obras y producciones visuales identificando sus elementos formales y su intención comunicativa.</t>
  </si>
  <si>
    <t>CEC1, CCL2</t>
  </si>
  <si>
    <t>Crear producciones plásticas y audiovisuales utilizando técnicas diversas y mostrando creatividad.</t>
  </si>
  <si>
    <t>Utilizar herramientas digitales para editar y producir contenidos visuales y audiovisuales.</t>
  </si>
  <si>
    <t>Valorar el patrimonio artístico y visual, mostrando actitudes de respeto y cuidado.</t>
  </si>
  <si>
    <t>Música</t>
  </si>
  <si>
    <t>Escuchar, analizar y valorar obras musicales de diferentes épocas y culturas.</t>
  </si>
  <si>
    <t>Interpretar piezas vocales e instrumentales de forma individual y en grupo.</t>
  </si>
  <si>
    <t>Crear composiciones musicales sencillas utilizando lenguaje musical y herramientas digitales.</t>
  </si>
  <si>
    <t>CEC2, CD2</t>
  </si>
  <si>
    <t>Participar en proyectos musicales colaborativos mostrando responsabilidad y respeto.</t>
  </si>
  <si>
    <t>CE, CPSAA</t>
  </si>
  <si>
    <t>Realizar actividades físico-deportivas aplicando habilidades motrices y estrategias básicas.</t>
  </si>
  <si>
    <t>CPSAA, STEM5</t>
  </si>
  <si>
    <t>Adoptar hábitos de vida saludable relacionados con el ejercicio, el descanso y la alimentación.</t>
  </si>
  <si>
    <t>Participar en actividades físicas mostrando cooperación, deportividad y gestión emocional.</t>
  </si>
  <si>
    <t>Utilizar herramientas digitales básicas para registrar, analizar o mejorar la práctica física.</t>
  </si>
  <si>
    <t>Comprender los valores democráticos, los derechos humanos y su aplicación en situaciones reales.</t>
  </si>
  <si>
    <t>Desarrollar pensamiento crítico ante conflictos éticos y sociales cotidianos.</t>
  </si>
  <si>
    <t>Reconocer situaciones de discriminación, desigualdad o injusticia y promover conductas responsables.</t>
  </si>
  <si>
    <t>Participar en proyectos de mejora del entorno mostrando compromiso social.</t>
  </si>
  <si>
    <t>CE, CC</t>
  </si>
  <si>
    <t>Tecnología y Digitalización</t>
  </si>
  <si>
    <t>Comprender los principios básicos de sistemas tecnológicos y digitales presentes en la vida cotidiana.</t>
  </si>
  <si>
    <t>STEM3, CD1</t>
  </si>
  <si>
    <t>Diseñar y crear soluciones tecnológicas sencillas mediante el uso de herramientas y procesos de diseño.</t>
  </si>
  <si>
    <t>STEM3, CE, CD2</t>
  </si>
  <si>
    <t>Utilizar lenguajes computacionales básicos para resolver problemas mediante programación.</t>
  </si>
  <si>
    <t>CD5, STEM3</t>
  </si>
  <si>
    <t>Aplicar criterios de sostenibilidad, seguridad y ética en el uso de tecnologías.</t>
  </si>
  <si>
    <t>CD4, STEM5</t>
  </si>
  <si>
    <t>Trabajar de manera cooperativa en proyectos tecnológicos, gestionando tareas y recursos.</t>
  </si>
  <si>
    <t>Economía y Emprendimiento</t>
  </si>
  <si>
    <t>Comprender conceptos económicos básicos relacionados con necesidades, recursos y consumo.</t>
  </si>
  <si>
    <t>CE</t>
  </si>
  <si>
    <t>Analizar situaciones económicas cotidianas aplicando razonamiento crítico.</t>
  </si>
  <si>
    <t>Diseñar proyectos o iniciativas emprendedoras sencillas, planificando recursos y tareas.</t>
  </si>
  <si>
    <t>CE, CD2</t>
  </si>
  <si>
    <t>Valorar la sostenibilidad, la ética y la responsabilidad social en decisiones económicas.</t>
  </si>
  <si>
    <t>CC, STEM5</t>
  </si>
  <si>
    <t>Cultura Clásica</t>
  </si>
  <si>
    <t>Reconocer el legado cultural, lingüístico y artístico de las civilizaciones griega y romana.</t>
  </si>
  <si>
    <t>Comprender textos y símbolos clásicos en contextos actuales.</t>
  </si>
  <si>
    <t>CCL2, CEC1</t>
  </si>
  <si>
    <t>Relacionar la mitología, el arte y las instituciones clásicas con la cultura contemporánea.</t>
  </si>
  <si>
    <t>Valorar la influencia de las lenguas clásicas en las lenguas modernas.</t>
  </si>
  <si>
    <t>CCL3, CP2</t>
  </si>
  <si>
    <t>Lingüística y Social (Ámbito Lingüístico y Social)</t>
  </si>
  <si>
    <t>Comprender textos escritos, orales y audiovisuales relacionados con contextos sociales y comunicativos.</t>
  </si>
  <si>
    <t>CCL2, CC</t>
  </si>
  <si>
    <t>Lingüística y Social</t>
  </si>
  <si>
    <t>Producir textos orales y escritos adecuados a diversas situaciones sociales y académicas.</t>
  </si>
  <si>
    <t>Analizar hechos y procesos sociales, históricos y geográficos empleando fuentes diversas.</t>
  </si>
  <si>
    <t>CC, STEM4</t>
  </si>
  <si>
    <t>Participar en proyectos que integren conocimiento lingüístico y social para resolver problemas del entorno.</t>
  </si>
  <si>
    <t>Científico-Tecnológico (Ámbito Científico-Tecnológico)</t>
  </si>
  <si>
    <t>Comprender fenómenos naturales utilizando modelos científicos básicos.</t>
  </si>
  <si>
    <t>Científico-Tecnológico</t>
  </si>
  <si>
    <t>Resolver problemas aplicando estrategias matemáticas y científicas.</t>
  </si>
  <si>
    <t>STEM1, STEM2</t>
  </si>
  <si>
    <t>Realizar investigaciones sencillas registrando datos de forma rigurosa.</t>
  </si>
  <si>
    <t>Usar herramientas digitales para representar y comunicar información científica y matemática.</t>
  </si>
  <si>
    <t>Aplicar criterios de sostenibilidad y responsabilidad en el uso de recursos y tecnologías.</t>
  </si>
  <si>
    <t>Lengua Castellana y Literatura I</t>
  </si>
  <si>
    <t>Comprender e interpretar textos orales, escritos y multimodales de distinta tipología, valorando su intención comunicativa y estructura.</t>
  </si>
  <si>
    <t>Producir textos orales y escritos adecuados, coherentes y cohesionados en contextos académicos y sociales.</t>
  </si>
  <si>
    <t>Analizar textos literarios representativos relacionándolos con su contexto histórico y cultural.</t>
  </si>
  <si>
    <t>CEC1, CCL4</t>
  </si>
  <si>
    <t>Reflexionar sobre el funcionamiento de la lengua y sus usos para mejorar la comunicación y el pensamiento crítico.</t>
  </si>
  <si>
    <t>Seleccionar, comparar y valorar información procedente de diversas fuentes, especialmente digitales.</t>
  </si>
  <si>
    <t>Lengua Castellana y Literatura II</t>
  </si>
  <si>
    <t>Interpretar críticamente textos complejos de diversos ámbitos, identificando su estructura, intención y recursos discursivos.</t>
  </si>
  <si>
    <t>Producir textos avanzados en diferentes registros y géneros, aplicando estrategias de planificación, cohesión y revisión.</t>
  </si>
  <si>
    <t>Analizar obras literarias completas comprendiendo su valor estético y su relación con movimientos culturales.</t>
  </si>
  <si>
    <t>Investigar sobre temas lingüísticos o literarios utilizando fuentes fiables y metodologías rigurosas.</t>
  </si>
  <si>
    <t>Utilizar el lenguaje de forma ética, crítica e inclusiva, promoviendo la convivencia democrática.</t>
  </si>
  <si>
    <t>CC, CCL5</t>
  </si>
  <si>
    <t>Filosofía</t>
  </si>
  <si>
    <t>Comprender conceptos, problemas y teorías filosóficas fundamentales, situándolos en su contexto.</t>
  </si>
  <si>
    <t>CCL2, CPSAA</t>
  </si>
  <si>
    <t>Argumentar de forma coherente y crítica sobre cuestiones filosóficas empleando un lenguaje riguroso.</t>
  </si>
  <si>
    <t>CCL1, CPSAA</t>
  </si>
  <si>
    <t>Analizar textos filosóficos identificando tesis, argumentos y supuestos.</t>
  </si>
  <si>
    <t>Aplicar el razonamiento filosófico a situaciones reales, adoptando posturas éticas fundamentadas.</t>
  </si>
  <si>
    <t>Historia de la Filosofía</t>
  </si>
  <si>
    <t>Comprender el desarrollo histórico del pensamiento filosófico mediante el estudio de autores y corrientes relevantes.</t>
  </si>
  <si>
    <t>Analizar textos filosóficos clásicos identificando sus planteamientos y su influencia posterior.</t>
  </si>
  <si>
    <t>Relacionar problemas filosóficos actuales con sus raíces históricas.</t>
  </si>
  <si>
    <t>Elaborar juicios personales fundamentados a partir de la comparación de teorías filosóficas.</t>
  </si>
  <si>
    <t>Historia de España</t>
  </si>
  <si>
    <t>Comprender los procesos y hechos fundamentales de la historia de España desde la Edad Moderna hasta la actualidad.</t>
  </si>
  <si>
    <t>Interpretar fuentes históricas diversas valorando su fiabilidad y perspectiva.</t>
  </si>
  <si>
    <t>Analizar cambios y continuidades históricas relacionándolos con transformaciones políticas, sociales y culturales.</t>
  </si>
  <si>
    <t>Elaborar explicaciones históricas rigurosas utilizando vocabulario específico y argumentación coherente.</t>
  </si>
  <si>
    <t>CCL1, CC</t>
  </si>
  <si>
    <t>Primera Lengua Extranjera I</t>
  </si>
  <si>
    <t>Comprender textos orales y escritos breves en lengua extranjera sobre temas cotidianos o académicos.</t>
  </si>
  <si>
    <t>Producir textos orales y escritos sencillos adecuados a la situación comunicativa.</t>
  </si>
  <si>
    <t>Aplicar estrategias básicas para mejorar la competencia comunicativa en lengua extranjera.</t>
  </si>
  <si>
    <t>Valorar la diversidad lingüística y cultural en contextos plurilingües.</t>
  </si>
  <si>
    <t>Primera Lengua Extranjera II</t>
  </si>
  <si>
    <t>Comprender textos orales y escritos de mayor complejidad reconociendo ideas principales y matices relevantes.</t>
  </si>
  <si>
    <t>Producir textos más elaborados, adecuados en registro, coherencia y corrección.</t>
  </si>
  <si>
    <t>Realizar exposiciones y argumentaciones breves en lengua extranjera.</t>
  </si>
  <si>
    <t>Utilizar recursos digitales para comprender, producir y presentar información en lengua extranjera.</t>
  </si>
  <si>
    <t>Matemáticas I</t>
  </si>
  <si>
    <t>Comprender y utilizar conceptos y procedimientos matemáticos de álgebra, funciones y geometría para resolver problemas.</t>
  </si>
  <si>
    <t>Interpretar y representar información mediante funciones, gráficas y modelos matemáticos.</t>
  </si>
  <si>
    <t>Aplicar razonamiento matemático para analizar situaciones reales.</t>
  </si>
  <si>
    <t>Utilizar herramientas digitales para explorar y modelizar relaciones matemáticas.</t>
  </si>
  <si>
    <t>Matemáticas II</t>
  </si>
  <si>
    <t>Profundizar en el análisis de funciones y modelos matemáticos complejos.</t>
  </si>
  <si>
    <t>Resolver problemas avanzados de álgebra, cálculo y geometría.</t>
  </si>
  <si>
    <t>Interpretar resultados matemáticos en contextos científicos y tecnológicos.</t>
  </si>
  <si>
    <t>Utilizar software especializado para representar y analizar objetos matemáticos.</t>
  </si>
  <si>
    <t>Matemáticas Aplicadas a las CCSS I</t>
  </si>
  <si>
    <t>Aplicar razonamiento matemático a situaciones económicas y sociales.</t>
  </si>
  <si>
    <t>STEM1, CE</t>
  </si>
  <si>
    <t>Interpretar datos mediante estadística descriptiva y probabilidad.</t>
  </si>
  <si>
    <t>Utilizar herramientas digitales para el análisis de datos reales.</t>
  </si>
  <si>
    <t>Resolver problemas funcionales y de proporcionalidad en contextos sociales.</t>
  </si>
  <si>
    <t>Matemáticas Aplicadas a las CCSS II</t>
  </si>
  <si>
    <t>Aplicar métodos estadísticos e inferenciales en el análisis de datos.</t>
  </si>
  <si>
    <t>Resolver problemas financieros y económicos mediante modelos matemáticos.</t>
  </si>
  <si>
    <t>CE, STEM1</t>
  </si>
  <si>
    <t>Utilizar hojas de cálculo y software estadístico para estudiar fenómenos sociales.</t>
  </si>
  <si>
    <t>Analizar críticamente información cuantitativa presente en medios y estudios.</t>
  </si>
  <si>
    <t>Física</t>
  </si>
  <si>
    <t>Comprender leyes y modelos físicos esenciales para explicar fenómenos naturales.</t>
  </si>
  <si>
    <t>Resolver problemas aplicando razonamiento mecánico, electromagnético y termodinámico.</t>
  </si>
  <si>
    <t>Diseñar y realizar investigaciones experimentales registrando datos con rigor.</t>
  </si>
  <si>
    <t>Utilizar herramientas digitales para simular sistemas físicos.</t>
  </si>
  <si>
    <t>Química</t>
  </si>
  <si>
    <t>Comprender la estructura y reactividad de la materia mediante modelos químicos.</t>
  </si>
  <si>
    <t>Resolver problemas de formulación, reacciones y estequiometría.</t>
  </si>
  <si>
    <t>Realizar experimentos químicos aplicando normas de seguridad y análisis de resultados.</t>
  </si>
  <si>
    <t>Valorar el impacto ambiental y social de procesos químicos.</t>
  </si>
  <si>
    <t>Biología</t>
  </si>
  <si>
    <t>Comprender la organización y funcionamiento de los sistemas biológicos.</t>
  </si>
  <si>
    <t>Analizar procesos celulares, genéticos y fisiológicos mediante modelos científicos.</t>
  </si>
  <si>
    <t>Realizar investigaciones y prácticas de laboratorio con rigor metodológico.</t>
  </si>
  <si>
    <t>Valorar la biodiversidad y promover acciones de conservación.</t>
  </si>
  <si>
    <t>Geología y Ciencias Ambientales</t>
  </si>
  <si>
    <t>Comprender procesos geológicos y su relación con el entorno natural.</t>
  </si>
  <si>
    <t>Interpretar datos ambientales para evaluar problemas ecológicos.</t>
  </si>
  <si>
    <t>Identificar riesgos naturales y proponer medidas de prevención.</t>
  </si>
  <si>
    <t>Participar en proyectos de sostenibilidad y protección ambiental.</t>
  </si>
  <si>
    <t>Dibujo Técnico I</t>
  </si>
  <si>
    <t>Representar formas geométricas mediante sistemas de representación normalizados.</t>
  </si>
  <si>
    <t>Resolver problemas espaciales utilizando geometría y proyecciones.</t>
  </si>
  <si>
    <t>Interpretar planos y realizar croquis básicos.</t>
  </si>
  <si>
    <t>Usar herramientas digitales de diseño asistido.</t>
  </si>
  <si>
    <t>Dibujo Técnico II</t>
  </si>
  <si>
    <t>Representar objetos complejos utilizando sistemas avanzados de representación.</t>
  </si>
  <si>
    <t>Aplicar geometría descriptiva a la resolución de problemas técnicos.</t>
  </si>
  <si>
    <t>Desarrollar proyectos gráficos técnicos con precisión.</t>
  </si>
  <si>
    <t>CE, STEM4</t>
  </si>
  <si>
    <t>Utilizar software de diseño profesional para modelado y representación.</t>
  </si>
  <si>
    <t>Tecnología e Ingeniería I</t>
  </si>
  <si>
    <t>Comprender principios tecnológicos y sistemas mecánicos, eléctricos y digitales.</t>
  </si>
  <si>
    <t>Aplicar procesos de diseño y prototipado para resolver problemas técnicos.</t>
  </si>
  <si>
    <t>CE, STEM3</t>
  </si>
  <si>
    <t>Analizar el impacto de la tecnología en la sociedad y el medioambiente.</t>
  </si>
  <si>
    <t>Usar herramientas digitales y dispositivos para crear soluciones tecnológicas.</t>
  </si>
  <si>
    <t>Tecnología e Ingeniería II</t>
  </si>
  <si>
    <t>Modelizar sistemas tecnológicos complejos utilizando herramientas analíticas y digitales.</t>
  </si>
  <si>
    <t>STEM3, CD2</t>
  </si>
  <si>
    <t>Diseñar y fabricar prototipos avanzados aplicando criterios funcionales y sostenibles.</t>
  </si>
  <si>
    <t>CE, STEM5</t>
  </si>
  <si>
    <t>Gestionar proyectos tecnológicos colaborativos.</t>
  </si>
  <si>
    <t>CPSAA, CE</t>
  </si>
  <si>
    <t>Evaluar impactos sociales y éticos de las innovaciones tecnológicas.</t>
  </si>
  <si>
    <t>Historia del Arte</t>
  </si>
  <si>
    <t>Analizar obras artísticas reconociendo estilos, técnicas y contextos históricos.</t>
  </si>
  <si>
    <t>Valorar el patrimonio artístico como expresión cultural y social.</t>
  </si>
  <si>
    <t>Interpretar la evolución del arte relacionándola con procesos históricos y sociales.</t>
  </si>
  <si>
    <t>Expresar análisis y juicios estéticos fundamentados.</t>
  </si>
  <si>
    <t>CCL1, CEC2</t>
  </si>
  <si>
    <t>Economía</t>
  </si>
  <si>
    <t>Comprender conceptos y procesos económicos esenciales.</t>
  </si>
  <si>
    <t>Analizar información económica utilizando modelos sencillos.</t>
  </si>
  <si>
    <t>Evaluar decisiones económicas considerando criterios sociales y ambientales.</t>
  </si>
  <si>
    <t>Participar en proyectos de comprensión económica aplicados a la vida diaria.</t>
  </si>
  <si>
    <t>Empresa y Diseño de Modelos de Negocio</t>
  </si>
  <si>
    <t>Comprender el funcionamiento básico de las empresas y su entorno.</t>
  </si>
  <si>
    <t>Diseñar modelos de negocio utilizando herramientas de análisis y creatividad.</t>
  </si>
  <si>
    <t>Gestionar y comunicar proyectos emprendedores.</t>
  </si>
  <si>
    <t>CCL1, CE</t>
  </si>
  <si>
    <t>Valorar la sostenibilidad y la ética empresarial.</t>
  </si>
  <si>
    <t>Latín I</t>
  </si>
  <si>
    <t>Comprender estructuras básicas del latín y su relación con las lenguas romances.</t>
  </si>
  <si>
    <t>Traducir textos sencillos identificando estructuras lingüísticas esenciales.</t>
  </si>
  <si>
    <t>Reconocer elementos culturales romanos en la actualidad.</t>
  </si>
  <si>
    <t>Valorar el legado lingüístico y cultural clásico.</t>
  </si>
  <si>
    <t>Latín II</t>
  </si>
  <si>
    <t>Analizar estructuras gramaticales complejas del latín.</t>
  </si>
  <si>
    <t>Traducir textos clásicos con progresiva autonomía.</t>
  </si>
  <si>
    <t>Interpretar textos en relación con su contexto histórico y literario.</t>
  </si>
  <si>
    <t>Valorar críticamente el legado clásico en la cultura contemporánea.</t>
  </si>
  <si>
    <t>Griego I</t>
  </si>
  <si>
    <t>Comprender estructuras básicas del griego clásico.</t>
  </si>
  <si>
    <t>Traducir textos breves reconociendo elementos lingüísticos esenciales.</t>
  </si>
  <si>
    <t>Relacionar mitos y textos griegos con manifestaciones culturales actuales.</t>
  </si>
  <si>
    <t>Valorar la influencia griega en el pensamiento occidental.</t>
  </si>
  <si>
    <t>Griego II</t>
  </si>
  <si>
    <t>Analizar estructuras lingüísticas avanzadas del griego clásico.</t>
  </si>
  <si>
    <t>Traducir textos más complejos mostrando comprensión profunda.</t>
  </si>
  <si>
    <t>Interpretar obras clásicas en su contexto cultural.</t>
  </si>
  <si>
    <t>Valorar el legado cultural griego.</t>
  </si>
  <si>
    <t>Literatura Universal</t>
  </si>
  <si>
    <t>Leer y analizar obras de distintas épocas y culturas.</t>
  </si>
  <si>
    <t>Comparar temas, motivos y estilos literarios en obras relevantes.</t>
  </si>
  <si>
    <t>Relacionar obras literarias con su contexto histórico y cultural.</t>
  </si>
  <si>
    <t>Desarrollar juicios estéticos y críticos fundamentados.</t>
  </si>
  <si>
    <t>Artes Escénicas</t>
  </si>
  <si>
    <t>Analizar manifestaciones escénicas valorando sus elementos expresivos.</t>
  </si>
  <si>
    <t>Crear e interpretar propuestas escénicas individuales y colectivas.</t>
  </si>
  <si>
    <t>Participar en proyectos escénicos mostrando responsabilidad y cooperación.</t>
  </si>
  <si>
    <t>Valorar la diversidad escénica como expresión cultural.</t>
  </si>
  <si>
    <t>Analizar obras musicales situándolas en su contexto cultural e histórico.</t>
  </si>
  <si>
    <t>Interpretar piezas musicales vocales o instrumentales con corrección técnica.</t>
  </si>
  <si>
    <t>Crear composiciones musicales utilizando recursos sonoros y digitales.</t>
  </si>
  <si>
    <t>Participar en proyectos musicales colectivos de manera responsable.</t>
  </si>
  <si>
    <t>Cultura Audiovisual I</t>
  </si>
  <si>
    <t>Comprender lenguajes audiovisuales identificando sus códigos expresivos.</t>
  </si>
  <si>
    <t>Analizar producciones audiovisuales valorando intenciones y efectos.</t>
  </si>
  <si>
    <t>Crear contenidos audiovisuales básicos utilizando herramientas digitales.</t>
  </si>
  <si>
    <t>Participar en proyectos audiovisuales cooperativos.</t>
  </si>
  <si>
    <t>Cultura Audiovisual II</t>
  </si>
  <si>
    <t>Analizar críticamente obras y discursos audiovisuales complejos.</t>
  </si>
  <si>
    <t>Diseñar y producir proyectos audiovisuales completos.</t>
  </si>
  <si>
    <t>Aplicar técnicas avanzadas de edición y postproducción.</t>
  </si>
  <si>
    <t>Valorar la influencia social y cultural del audiovisual.</t>
  </si>
  <si>
    <t>Diseño</t>
  </si>
  <si>
    <t>Comprender principios y elementos del diseño en distintos ámbitos.</t>
  </si>
  <si>
    <t>Realizar proyectos de diseño aplicando procesos creativos y técnicos.</t>
  </si>
  <si>
    <t>Utilizar herramientas digitales para creación y edición de diseños.</t>
  </si>
  <si>
    <t>Valorar la función social, estética y comunicativa del diseño.</t>
  </si>
  <si>
    <t>Volumen</t>
  </si>
  <si>
    <t>Comprender conceptos tridimensionales y su aplicación artística.</t>
  </si>
  <si>
    <t>Crear obras tridimensionales mediante técnicas y materiales diversos.</t>
  </si>
  <si>
    <t>Planificar y ejecutar proyectos volumétricos cooperativos.</t>
  </si>
  <si>
    <t>Valorar obras escultóricas y tridimensionales en su contexto.</t>
  </si>
  <si>
    <t>Movimientos Culturales y Artísticos</t>
  </si>
  <si>
    <t>Analizar movimientos culturales relacionándolos con su contexto histórico.</t>
  </si>
  <si>
    <t>Comparar manifestaciones artísticas identificando rasgos comunes y diferencias.</t>
  </si>
  <si>
    <t>Interpretar la evolución de ideas estéticas a lo largo del tiempo.</t>
  </si>
  <si>
    <t>Desarrollar opiniones críticas fundamentadas sobre obras y movimientos.</t>
  </si>
  <si>
    <t>Psicología</t>
  </si>
  <si>
    <t>Comprender teorías y conceptos fundamentales de la psicología.</t>
  </si>
  <si>
    <t>Analizar comportamientos y procesos cognitivos básicos.</t>
  </si>
  <si>
    <t>Aplicar principios psicológicos a situaciones cotidianas.</t>
  </si>
  <si>
    <t>Realizar pequeñas investigaciones y observaciones con rigor ético.</t>
  </si>
  <si>
    <t>CPSAA, STEM4</t>
  </si>
  <si>
    <t>Segunda Lengua Extranjera I</t>
  </si>
  <si>
    <t>Comprender textos orales y escritos básicos en una nueva lengua extranjera.</t>
  </si>
  <si>
    <t>Producir mensajes sencillos adecuados a situaciones muy cotidianas.</t>
  </si>
  <si>
    <t>Mostrar interés y apertura hacia nuevas lenguas y culturas.</t>
  </si>
  <si>
    <t>Usar recursos digitales básicos para el aprendizaje de lenguas.</t>
  </si>
  <si>
    <t>Segunda Lengua Extranjera II</t>
  </si>
  <si>
    <t>Comprender textos más complejos en la segunda lengua extranjera.</t>
  </si>
  <si>
    <t>Producir textos orales y escritos con mayor coherencia y corrección.</t>
  </si>
  <si>
    <t>Participar en interacciones breves mostrando adecuación comunicativa.</t>
  </si>
  <si>
    <t>Aplicar estrategias de aprendizaje autónomo y digital.</t>
  </si>
  <si>
    <t>CD2, CPSAA</t>
  </si>
  <si>
    <t>Grupo</t>
  </si>
  <si>
    <t>Área/Materia</t>
  </si>
  <si>
    <t>Infantil</t>
  </si>
  <si>
    <t>null</t>
  </si>
  <si>
    <t>Primaria</t>
  </si>
  <si>
    <t>Secundaria</t>
  </si>
  <si>
    <t>Bachillerato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</si>
</sst>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  <font>
      <b/>
      <color theme="1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0" fillId="4" fontId="3" numFmtId="0" xfId="0" applyAlignment="1" applyFill="1" applyFont="1">
      <alignment readingOrder="0"/>
    </xf>
    <xf borderId="0" fillId="0" fontId="4" numFmtId="0" xfId="0" applyFont="1"/>
    <xf borderId="0" fillId="2" fontId="1" numFmtId="0" xfId="0" applyAlignment="1" applyFont="1">
      <alignment readingOrder="0" vertical="top"/>
    </xf>
    <xf borderId="0" fillId="3" fontId="1" numFmtId="0" xfId="0" applyAlignment="1" applyFont="1">
      <alignment readingOrder="0" vertical="top"/>
    </xf>
    <xf borderId="1" fillId="0" fontId="4" numFmtId="0" xfId="0" applyAlignment="1" applyBorder="1" applyFont="1">
      <alignment readingOrder="0"/>
    </xf>
    <xf borderId="0" fillId="0" fontId="4" numFmtId="0" xfId="0" applyFont="1"/>
    <xf borderId="1" fillId="0" fontId="4" numFmtId="0" xfId="0" applyBorder="1" applyFont="1"/>
    <xf borderId="1" fillId="0" fontId="4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61.13"/>
    <col customWidth="1" min="2" max="2" width="7.5"/>
    <col customWidth="1" min="3" max="3" width="53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 t="s">
        <v>5</v>
      </c>
    </row>
    <row r="3">
      <c r="A3" s="2" t="s">
        <v>3</v>
      </c>
      <c r="B3" s="3" t="s">
        <v>6</v>
      </c>
      <c r="C3" s="3" t="s">
        <v>7</v>
      </c>
    </row>
    <row r="4">
      <c r="A4" s="2" t="s">
        <v>3</v>
      </c>
      <c r="B4" s="3" t="s">
        <v>8</v>
      </c>
      <c r="C4" s="3" t="s">
        <v>9</v>
      </c>
    </row>
    <row r="5">
      <c r="A5" s="2" t="s">
        <v>3</v>
      </c>
      <c r="B5" s="3" t="s">
        <v>10</v>
      </c>
      <c r="C5" s="3" t="s">
        <v>11</v>
      </c>
    </row>
    <row r="6">
      <c r="A6" s="2" t="s">
        <v>3</v>
      </c>
      <c r="B6" s="3" t="s">
        <v>12</v>
      </c>
      <c r="C6" s="3" t="s">
        <v>13</v>
      </c>
    </row>
    <row r="7">
      <c r="A7" s="2" t="s">
        <v>14</v>
      </c>
      <c r="B7" s="3" t="s">
        <v>15</v>
      </c>
      <c r="C7" s="3" t="s">
        <v>16</v>
      </c>
    </row>
    <row r="8">
      <c r="A8" s="2" t="s">
        <v>14</v>
      </c>
      <c r="B8" s="3" t="s">
        <v>17</v>
      </c>
      <c r="C8" s="3" t="s">
        <v>18</v>
      </c>
    </row>
    <row r="9">
      <c r="A9" s="2" t="s">
        <v>14</v>
      </c>
      <c r="B9" s="3" t="s">
        <v>19</v>
      </c>
      <c r="C9" s="3" t="s">
        <v>20</v>
      </c>
    </row>
    <row r="10">
      <c r="A10" s="2" t="s">
        <v>21</v>
      </c>
      <c r="B10" s="3" t="s">
        <v>22</v>
      </c>
      <c r="C10" s="3" t="s">
        <v>23</v>
      </c>
    </row>
    <row r="11">
      <c r="A11" s="2" t="s">
        <v>21</v>
      </c>
      <c r="B11" s="3" t="s">
        <v>24</v>
      </c>
      <c r="C11" s="3" t="s">
        <v>25</v>
      </c>
    </row>
    <row r="12">
      <c r="A12" s="2" t="s">
        <v>21</v>
      </c>
      <c r="B12" s="3" t="s">
        <v>26</v>
      </c>
      <c r="C12" s="3" t="s">
        <v>27</v>
      </c>
    </row>
    <row r="13">
      <c r="A13" s="2" t="s">
        <v>21</v>
      </c>
      <c r="B13" s="3" t="s">
        <v>28</v>
      </c>
      <c r="C13" s="3" t="s">
        <v>29</v>
      </c>
    </row>
    <row r="14">
      <c r="A14" s="2" t="s">
        <v>21</v>
      </c>
      <c r="B14" s="3" t="s">
        <v>30</v>
      </c>
      <c r="C14" s="3" t="s">
        <v>31</v>
      </c>
    </row>
    <row r="15">
      <c r="A15" s="2" t="s">
        <v>32</v>
      </c>
      <c r="B15" s="3" t="s">
        <v>33</v>
      </c>
      <c r="C15" s="3" t="s">
        <v>34</v>
      </c>
    </row>
    <row r="16">
      <c r="A16" s="2" t="s">
        <v>32</v>
      </c>
      <c r="B16" s="3" t="s">
        <v>35</v>
      </c>
      <c r="C16" s="3" t="s">
        <v>36</v>
      </c>
    </row>
    <row r="17">
      <c r="A17" s="2" t="s">
        <v>32</v>
      </c>
      <c r="B17" s="3" t="s">
        <v>37</v>
      </c>
      <c r="C17" s="3" t="s">
        <v>38</v>
      </c>
    </row>
    <row r="18">
      <c r="A18" s="2" t="s">
        <v>32</v>
      </c>
      <c r="B18" s="3" t="s">
        <v>39</v>
      </c>
      <c r="C18" s="3" t="s">
        <v>40</v>
      </c>
    </row>
    <row r="19">
      <c r="A19" s="2" t="s">
        <v>32</v>
      </c>
      <c r="B19" s="3" t="s">
        <v>41</v>
      </c>
      <c r="C19" s="3" t="s">
        <v>42</v>
      </c>
    </row>
    <row r="20">
      <c r="A20" s="2" t="s">
        <v>43</v>
      </c>
      <c r="B20" s="3" t="s">
        <v>44</v>
      </c>
      <c r="C20" s="3" t="s">
        <v>45</v>
      </c>
    </row>
    <row r="21">
      <c r="A21" s="2" t="s">
        <v>43</v>
      </c>
      <c r="B21" s="3" t="s">
        <v>46</v>
      </c>
      <c r="C21" s="3" t="s">
        <v>47</v>
      </c>
    </row>
    <row r="22">
      <c r="A22" s="2" t="s">
        <v>43</v>
      </c>
      <c r="B22" s="3" t="s">
        <v>48</v>
      </c>
      <c r="C22" s="3" t="s">
        <v>49</v>
      </c>
    </row>
    <row r="23">
      <c r="A23" s="2" t="s">
        <v>43</v>
      </c>
      <c r="B23" s="3" t="s">
        <v>50</v>
      </c>
      <c r="C23" s="3" t="s">
        <v>51</v>
      </c>
    </row>
    <row r="24">
      <c r="A24" s="2" t="s">
        <v>43</v>
      </c>
      <c r="B24" s="3" t="s">
        <v>52</v>
      </c>
      <c r="C24" s="3" t="s">
        <v>53</v>
      </c>
    </row>
    <row r="25">
      <c r="A25" s="2" t="s">
        <v>54</v>
      </c>
      <c r="B25" s="3" t="s">
        <v>55</v>
      </c>
      <c r="C25" s="3" t="s">
        <v>56</v>
      </c>
    </row>
    <row r="26">
      <c r="A26" s="2" t="s">
        <v>54</v>
      </c>
      <c r="B26" s="3" t="s">
        <v>57</v>
      </c>
      <c r="C26" s="3" t="s">
        <v>58</v>
      </c>
    </row>
    <row r="27">
      <c r="A27" s="2" t="s">
        <v>54</v>
      </c>
      <c r="B27" s="3" t="s">
        <v>59</v>
      </c>
      <c r="C27" s="3" t="s">
        <v>60</v>
      </c>
    </row>
    <row r="28">
      <c r="A28" s="2" t="s">
        <v>61</v>
      </c>
      <c r="B28" s="3" t="s">
        <v>62</v>
      </c>
      <c r="C28" s="3" t="s">
        <v>63</v>
      </c>
    </row>
    <row r="29">
      <c r="A29" s="2" t="s">
        <v>61</v>
      </c>
      <c r="B29" s="3" t="s">
        <v>64</v>
      </c>
      <c r="C29" s="3" t="s">
        <v>65</v>
      </c>
    </row>
    <row r="30">
      <c r="A30" s="2" t="s">
        <v>61</v>
      </c>
      <c r="B30" s="3" t="s">
        <v>66</v>
      </c>
      <c r="C30" s="3" t="s">
        <v>67</v>
      </c>
    </row>
    <row r="31">
      <c r="A31" s="2" t="s">
        <v>68</v>
      </c>
      <c r="B31" s="3" t="s">
        <v>69</v>
      </c>
      <c r="C31" s="3" t="s">
        <v>70</v>
      </c>
    </row>
    <row r="32">
      <c r="A32" s="2" t="s">
        <v>68</v>
      </c>
      <c r="B32" s="3" t="s">
        <v>71</v>
      </c>
      <c r="C32" s="3" t="s">
        <v>72</v>
      </c>
    </row>
    <row r="33">
      <c r="A33" s="2" t="s">
        <v>68</v>
      </c>
      <c r="B33" s="3" t="s">
        <v>73</v>
      </c>
      <c r="C33" s="3" t="s">
        <v>74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9.75"/>
    <col customWidth="1" min="2" max="3" width="15.5"/>
    <col customWidth="1" min="4" max="4" width="102.88"/>
    <col customWidth="1" min="5" max="5" width="24.5"/>
  </cols>
  <sheetData>
    <row r="1">
      <c r="A1" s="4" t="s">
        <v>75</v>
      </c>
      <c r="B1" s="4" t="s">
        <v>76</v>
      </c>
      <c r="C1" s="4" t="s">
        <v>77</v>
      </c>
      <c r="D1" s="4" t="s">
        <v>78</v>
      </c>
    </row>
    <row r="2">
      <c r="A2" s="2" t="s">
        <v>79</v>
      </c>
      <c r="B2" s="3" t="s">
        <v>80</v>
      </c>
      <c r="C2" s="3" t="str">
        <f t="shared" ref="C2:C6" si="1">"CdSmyAP" &amp; B2 &amp; "-i"</f>
        <v>CdSmyAPO1-i</v>
      </c>
      <c r="D2" s="3" t="s">
        <v>81</v>
      </c>
    </row>
    <row r="3">
      <c r="A3" s="2" t="s">
        <v>79</v>
      </c>
      <c r="B3" s="3" t="s">
        <v>82</v>
      </c>
      <c r="C3" s="3" t="str">
        <f t="shared" si="1"/>
        <v>CdSmyAPO2-i</v>
      </c>
      <c r="D3" s="3" t="s">
        <v>83</v>
      </c>
    </row>
    <row r="4">
      <c r="A4" s="2" t="s">
        <v>79</v>
      </c>
      <c r="B4" s="3" t="s">
        <v>84</v>
      </c>
      <c r="C4" s="3" t="str">
        <f t="shared" si="1"/>
        <v>CdSmyAPO3-i</v>
      </c>
      <c r="D4" s="3" t="s">
        <v>85</v>
      </c>
    </row>
    <row r="5">
      <c r="A5" s="2" t="s">
        <v>79</v>
      </c>
      <c r="B5" s="3" t="s">
        <v>86</v>
      </c>
      <c r="C5" s="3" t="str">
        <f t="shared" si="1"/>
        <v>CdSmyAPO4-i</v>
      </c>
      <c r="D5" s="3" t="s">
        <v>87</v>
      </c>
    </row>
    <row r="6">
      <c r="A6" s="2" t="s">
        <v>79</v>
      </c>
      <c r="B6" s="3" t="s">
        <v>88</v>
      </c>
      <c r="C6" s="3" t="str">
        <f t="shared" si="1"/>
        <v>CdSmyAPO5-i</v>
      </c>
      <c r="D6" s="3" t="s">
        <v>89</v>
      </c>
    </row>
    <row r="7">
      <c r="A7" s="2" t="s">
        <v>90</v>
      </c>
      <c r="B7" s="3" t="s">
        <v>80</v>
      </c>
      <c r="C7" s="3" t="str">
        <f t="shared" ref="C7:C11" si="2">"CdE" &amp; B7 &amp; "-i"</f>
        <v>CdEO1-i</v>
      </c>
      <c r="D7" s="3" t="s">
        <v>91</v>
      </c>
    </row>
    <row r="8">
      <c r="A8" s="2" t="s">
        <v>90</v>
      </c>
      <c r="B8" s="3" t="s">
        <v>82</v>
      </c>
      <c r="C8" s="3" t="str">
        <f t="shared" si="2"/>
        <v>CdEO2-i</v>
      </c>
      <c r="D8" s="3" t="s">
        <v>92</v>
      </c>
    </row>
    <row r="9">
      <c r="A9" s="2" t="s">
        <v>90</v>
      </c>
      <c r="B9" s="3" t="s">
        <v>84</v>
      </c>
      <c r="C9" s="3" t="str">
        <f t="shared" si="2"/>
        <v>CdEO3-i</v>
      </c>
      <c r="D9" s="3" t="s">
        <v>93</v>
      </c>
    </row>
    <row r="10">
      <c r="A10" s="2" t="s">
        <v>90</v>
      </c>
      <c r="B10" s="3" t="s">
        <v>86</v>
      </c>
      <c r="C10" s="3" t="str">
        <f t="shared" si="2"/>
        <v>CdEO4-i</v>
      </c>
      <c r="D10" s="3" t="s">
        <v>94</v>
      </c>
    </row>
    <row r="11">
      <c r="A11" s="2" t="s">
        <v>90</v>
      </c>
      <c r="B11" s="3" t="s">
        <v>88</v>
      </c>
      <c r="C11" s="3" t="str">
        <f t="shared" si="2"/>
        <v>CdEO5-i</v>
      </c>
      <c r="D11" s="3" t="s">
        <v>95</v>
      </c>
    </row>
    <row r="12">
      <c r="A12" s="2" t="s">
        <v>96</v>
      </c>
      <c r="B12" s="3" t="s">
        <v>80</v>
      </c>
      <c r="C12" s="3" t="str">
        <f t="shared" ref="C12:C16" si="3">"L" &amp; B12 &amp; "-i"</f>
        <v>LO1-i</v>
      </c>
      <c r="D12" s="3" t="s">
        <v>97</v>
      </c>
    </row>
    <row r="13">
      <c r="A13" s="2" t="s">
        <v>96</v>
      </c>
      <c r="B13" s="3" t="s">
        <v>82</v>
      </c>
      <c r="C13" s="3" t="str">
        <f t="shared" si="3"/>
        <v>LO2-i</v>
      </c>
      <c r="D13" s="3" t="s">
        <v>98</v>
      </c>
    </row>
    <row r="14">
      <c r="A14" s="2" t="s">
        <v>96</v>
      </c>
      <c r="B14" s="3" t="s">
        <v>84</v>
      </c>
      <c r="C14" s="3" t="str">
        <f t="shared" si="3"/>
        <v>LO3-i</v>
      </c>
      <c r="D14" s="3" t="s">
        <v>99</v>
      </c>
    </row>
    <row r="15">
      <c r="A15" s="2" t="s">
        <v>96</v>
      </c>
      <c r="B15" s="3" t="s">
        <v>86</v>
      </c>
      <c r="C15" s="3" t="str">
        <f t="shared" si="3"/>
        <v>LO4-i</v>
      </c>
      <c r="D15" s="3" t="s">
        <v>100</v>
      </c>
    </row>
    <row r="16">
      <c r="A16" s="2" t="s">
        <v>96</v>
      </c>
      <c r="B16" s="3" t="s">
        <v>88</v>
      </c>
      <c r="C16" s="3" t="str">
        <f t="shared" si="3"/>
        <v>LO5-i</v>
      </c>
      <c r="D16" s="3" t="s">
        <v>101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30.88"/>
    <col customWidth="1" min="3" max="3" width="11.38"/>
    <col customWidth="1" min="4" max="4" width="121.0"/>
    <col customWidth="1" min="5" max="5" width="26.13"/>
  </cols>
  <sheetData>
    <row r="1">
      <c r="A1" s="1" t="s">
        <v>75</v>
      </c>
      <c r="B1" s="1" t="s">
        <v>102</v>
      </c>
      <c r="C1" s="1" t="s">
        <v>77</v>
      </c>
      <c r="D1" s="1" t="s">
        <v>103</v>
      </c>
      <c r="E1" s="1" t="s">
        <v>104</v>
      </c>
    </row>
    <row r="2">
      <c r="A2" s="2" t="s">
        <v>105</v>
      </c>
      <c r="B2" s="3" t="s">
        <v>62</v>
      </c>
      <c r="C2" s="5" t="str">
        <f>IFERROR(__xludf.DUMMYFUNCTION("LET(acronym, REGEXREPLACE(A2, ""(\w)\w*\s*"", ""$1""), IF(LEN(acronym) = 1, LEFT(A2, 2), acronym) &amp; B2 &amp; ""-p"")"),"LCyLCE1-p")</f>
        <v>LCyLCE1-p</v>
      </c>
      <c r="D2" s="3" t="s">
        <v>106</v>
      </c>
      <c r="E2" s="3" t="s">
        <v>107</v>
      </c>
    </row>
    <row r="3">
      <c r="A3" s="2" t="s">
        <v>105</v>
      </c>
      <c r="B3" s="3" t="s">
        <v>64</v>
      </c>
      <c r="C3" s="5" t="str">
        <f>IFERROR(__xludf.DUMMYFUNCTION("LET(acronym, REGEXREPLACE(A3, ""(\w)\w*\s*"", ""$1""), IF(LEN(acronym) = 1, LEFT(A3, 2), acronym) &amp; B3 &amp; ""-p"")"),"LCyLCE2-p")</f>
        <v>LCyLCE2-p</v>
      </c>
      <c r="D3" s="3" t="s">
        <v>108</v>
      </c>
      <c r="E3" s="3" t="s">
        <v>109</v>
      </c>
    </row>
    <row r="4">
      <c r="A4" s="2" t="s">
        <v>105</v>
      </c>
      <c r="B4" s="3" t="s">
        <v>66</v>
      </c>
      <c r="C4" s="5" t="str">
        <f>IFERROR(__xludf.DUMMYFUNCTION("LET(acronym, REGEXREPLACE(A4, ""(\w)\w*\s*"", ""$1""), IF(LEN(acronym) = 1, LEFT(A4, 2), acronym) &amp; B4 &amp; ""-p"")"),"LCyLCE3-p")</f>
        <v>LCyLCE3-p</v>
      </c>
      <c r="D4" s="3" t="s">
        <v>110</v>
      </c>
      <c r="E4" s="3" t="s">
        <v>111</v>
      </c>
    </row>
    <row r="5">
      <c r="A5" s="2" t="s">
        <v>105</v>
      </c>
      <c r="B5" s="3" t="s">
        <v>112</v>
      </c>
      <c r="C5" s="5" t="str">
        <f>IFERROR(__xludf.DUMMYFUNCTION("LET(acronym, REGEXREPLACE(A5, ""(\w)\w*\s*"", ""$1""), IF(LEN(acronym) = 1, LEFT(A5, 2), acronym) &amp; B5 &amp; ""-p"")"),"LCyLCE4-p")</f>
        <v>LCyLCE4-p</v>
      </c>
      <c r="D5" s="3" t="s">
        <v>113</v>
      </c>
      <c r="E5" s="3" t="s">
        <v>114</v>
      </c>
    </row>
    <row r="6">
      <c r="A6" s="2" t="s">
        <v>105</v>
      </c>
      <c r="B6" s="3" t="s">
        <v>115</v>
      </c>
      <c r="C6" s="5" t="str">
        <f>IFERROR(__xludf.DUMMYFUNCTION("LET(acronym, REGEXREPLACE(A6, ""(\w)\w*\s*"", ""$1""), IF(LEN(acronym) = 1, LEFT(A6, 2), acronym) &amp; B6 &amp; ""-p"")"),"LCyLCE5-p")</f>
        <v>LCyLCE5-p</v>
      </c>
      <c r="D6" s="3" t="s">
        <v>116</v>
      </c>
      <c r="E6" s="3" t="s">
        <v>117</v>
      </c>
    </row>
    <row r="7">
      <c r="A7" s="2" t="s">
        <v>105</v>
      </c>
      <c r="B7" s="3" t="s">
        <v>118</v>
      </c>
      <c r="C7" s="5" t="str">
        <f>IFERROR(__xludf.DUMMYFUNCTION("LET(acronym, REGEXREPLACE(A7, ""(\w)\w*\s*"", ""$1""), IF(LEN(acronym) = 1, LEFT(A7, 2), acronym) &amp; B7 &amp; ""-p"")"),"LCyLCE6-p")</f>
        <v>LCyLCE6-p</v>
      </c>
      <c r="D7" s="3" t="s">
        <v>119</v>
      </c>
      <c r="E7" s="3" t="s">
        <v>8</v>
      </c>
    </row>
    <row r="8">
      <c r="A8" s="2" t="s">
        <v>105</v>
      </c>
      <c r="B8" s="3" t="s">
        <v>120</v>
      </c>
      <c r="C8" s="5" t="str">
        <f>IFERROR(__xludf.DUMMYFUNCTION("LET(acronym, REGEXREPLACE(A8, ""(\w)\w*\s*"", ""$1""), IF(LEN(acronym) = 1, LEFT(A8, 2), acronym) &amp; B8 &amp; ""-p"")"),"LCyLCE7-p")</f>
        <v>LCyLCE7-p</v>
      </c>
      <c r="D8" s="3" t="s">
        <v>121</v>
      </c>
      <c r="E8" s="3" t="s">
        <v>122</v>
      </c>
    </row>
    <row r="9">
      <c r="A9" s="2" t="s">
        <v>105</v>
      </c>
      <c r="B9" s="3" t="s">
        <v>123</v>
      </c>
      <c r="C9" s="5" t="str">
        <f>IFERROR(__xludf.DUMMYFUNCTION("LET(acronym, REGEXREPLACE(A9, ""(\w)\w*\s*"", ""$1""), IF(LEN(acronym) = 1, LEFT(A9, 2), acronym) &amp; B9 &amp; ""-p"")"),"LCyLCE8-p")</f>
        <v>LCyLCE8-p</v>
      </c>
      <c r="D9" s="3" t="s">
        <v>124</v>
      </c>
      <c r="E9" s="3" t="s">
        <v>125</v>
      </c>
    </row>
    <row r="10">
      <c r="A10" s="2" t="s">
        <v>126</v>
      </c>
      <c r="B10" s="3" t="s">
        <v>62</v>
      </c>
      <c r="C10" s="5" t="str">
        <f>IFERROR(__xludf.DUMMYFUNCTION("LET(acronym, REGEXREPLACE(A10, ""(\w)\w*\s*"", ""$1""), IF(LEN(acronym) = 1, LEFT(A10, 2), acronym) &amp; B10 &amp; ""-p"")"),"MátCE1-p")</f>
        <v>MátCE1-p</v>
      </c>
      <c r="D10" s="3" t="s">
        <v>127</v>
      </c>
      <c r="E10" s="3" t="s">
        <v>22</v>
      </c>
    </row>
    <row r="11">
      <c r="A11" s="2" t="s">
        <v>126</v>
      </c>
      <c r="B11" s="3" t="s">
        <v>64</v>
      </c>
      <c r="C11" s="5" t="str">
        <f>IFERROR(__xludf.DUMMYFUNCTION("LET(acronym, REGEXREPLACE(A11, ""(\w)\w*\s*"", ""$1""), IF(LEN(acronym) = 1, LEFT(A11, 2), acronym) &amp; B11 &amp; ""-p"")"),"MátCE2-p")</f>
        <v>MátCE2-p</v>
      </c>
      <c r="D11" s="3" t="s">
        <v>128</v>
      </c>
      <c r="E11" s="3" t="s">
        <v>129</v>
      </c>
    </row>
    <row r="12">
      <c r="A12" s="2" t="s">
        <v>126</v>
      </c>
      <c r="B12" s="3" t="s">
        <v>66</v>
      </c>
      <c r="C12" s="5" t="str">
        <f>IFERROR(__xludf.DUMMYFUNCTION("LET(acronym, REGEXREPLACE(A12, ""(\w)\w*\s*"", ""$1""), IF(LEN(acronym) = 1, LEFT(A12, 2), acronym) &amp; B12 &amp; ""-p"")"),"MátCE3-p")</f>
        <v>MátCE3-p</v>
      </c>
      <c r="D12" s="3" t="s">
        <v>130</v>
      </c>
      <c r="E12" s="3" t="s">
        <v>22</v>
      </c>
    </row>
    <row r="13">
      <c r="A13" s="2" t="s">
        <v>126</v>
      </c>
      <c r="B13" s="3" t="s">
        <v>112</v>
      </c>
      <c r="C13" s="5" t="str">
        <f>IFERROR(__xludf.DUMMYFUNCTION("LET(acronym, REGEXREPLACE(A13, ""(\w)\w*\s*"", ""$1""), IF(LEN(acronym) = 1, LEFT(A13, 2), acronym) &amp; B13 &amp; ""-p"")"),"MátCE4-p")</f>
        <v>MátCE4-p</v>
      </c>
      <c r="D13" s="3" t="s">
        <v>131</v>
      </c>
      <c r="E13" s="3" t="s">
        <v>132</v>
      </c>
    </row>
    <row r="14">
      <c r="A14" s="2" t="s">
        <v>126</v>
      </c>
      <c r="B14" s="3" t="s">
        <v>115</v>
      </c>
      <c r="C14" s="5" t="str">
        <f>IFERROR(__xludf.DUMMYFUNCTION("LET(acronym, REGEXREPLACE(A14, ""(\w)\w*\s*"", ""$1""), IF(LEN(acronym) = 1, LEFT(A14, 2), acronym) &amp; B14 &amp; ""-p"")"),"MátCE5-p")</f>
        <v>MátCE5-p</v>
      </c>
      <c r="D14" s="3" t="s">
        <v>133</v>
      </c>
      <c r="E14" s="3" t="s">
        <v>134</v>
      </c>
    </row>
    <row r="15">
      <c r="A15" s="2" t="s">
        <v>126</v>
      </c>
      <c r="B15" s="3" t="s">
        <v>118</v>
      </c>
      <c r="C15" s="5" t="str">
        <f>IFERROR(__xludf.DUMMYFUNCTION("LET(acronym, REGEXREPLACE(A15, ""(\w)\w*\s*"", ""$1""), IF(LEN(acronym) = 1, LEFT(A15, 2), acronym) &amp; B15 &amp; ""-p"")"),"MátCE6-p")</f>
        <v>MátCE6-p</v>
      </c>
      <c r="D15" s="3" t="s">
        <v>135</v>
      </c>
      <c r="E15" s="3" t="s">
        <v>136</v>
      </c>
    </row>
    <row r="16">
      <c r="A16" s="2" t="s">
        <v>137</v>
      </c>
      <c r="B16" s="3" t="s">
        <v>62</v>
      </c>
      <c r="C16" s="5" t="str">
        <f>IFERROR(__xludf.DUMMYFUNCTION("LET(acronym, REGEXREPLACE(A16, ""(\w)\w*\s*"", ""$1""), IF(LEN(acronym) = 1, LEFT(A16, 2), acronym) &amp; B16 &amp; ""-p"")"),"CdlNCE1-p")</f>
        <v>CdlNCE1-p</v>
      </c>
      <c r="D16" s="3" t="s">
        <v>138</v>
      </c>
      <c r="E16" s="3" t="s">
        <v>139</v>
      </c>
    </row>
    <row r="17">
      <c r="A17" s="2" t="s">
        <v>137</v>
      </c>
      <c r="B17" s="3" t="s">
        <v>64</v>
      </c>
      <c r="C17" s="5" t="str">
        <f>IFERROR(__xludf.DUMMYFUNCTION("LET(acronym, REGEXREPLACE(A17, ""(\w)\w*\s*"", ""$1""), IF(LEN(acronym) = 1, LEFT(A17, 2), acronym) &amp; B17 &amp; ""-p"")"),"CdlNCE2-p")</f>
        <v>CdlNCE2-p</v>
      </c>
      <c r="D17" s="3" t="s">
        <v>140</v>
      </c>
      <c r="E17" s="3" t="s">
        <v>141</v>
      </c>
    </row>
    <row r="18">
      <c r="A18" s="2" t="s">
        <v>137</v>
      </c>
      <c r="B18" s="3" t="s">
        <v>66</v>
      </c>
      <c r="C18" s="5" t="str">
        <f>IFERROR(__xludf.DUMMYFUNCTION("LET(acronym, REGEXREPLACE(A18, ""(\w)\w*\s*"", ""$1""), IF(LEN(acronym) = 1, LEFT(A18, 2), acronym) &amp; B18 &amp; ""-p"")"),"CdlNCE3-p")</f>
        <v>CdlNCE3-p</v>
      </c>
      <c r="D18" s="3" t="s">
        <v>142</v>
      </c>
      <c r="E18" s="3" t="s">
        <v>24</v>
      </c>
    </row>
    <row r="19">
      <c r="A19" s="2" t="s">
        <v>137</v>
      </c>
      <c r="B19" s="3" t="s">
        <v>112</v>
      </c>
      <c r="C19" s="5" t="str">
        <f>IFERROR(__xludf.DUMMYFUNCTION("LET(acronym, REGEXREPLACE(A19, ""(\w)\w*\s*"", ""$1""), IF(LEN(acronym) = 1, LEFT(A19, 2), acronym) &amp; B19 &amp; ""-p"")"),"CdlNCE4-p")</f>
        <v>CdlNCE4-p</v>
      </c>
      <c r="D19" s="3" t="s">
        <v>143</v>
      </c>
      <c r="E19" s="3" t="s">
        <v>144</v>
      </c>
    </row>
    <row r="20">
      <c r="A20" s="2" t="s">
        <v>137</v>
      </c>
      <c r="B20" s="3" t="s">
        <v>115</v>
      </c>
      <c r="C20" s="5" t="str">
        <f>IFERROR(__xludf.DUMMYFUNCTION("LET(acronym, REGEXREPLACE(A20, ""(\w)\w*\s*"", ""$1""), IF(LEN(acronym) = 1, LEFT(A20, 2), acronym) &amp; B20 &amp; ""-p"")"),"CdlNCE5-p")</f>
        <v>CdlNCE5-p</v>
      </c>
      <c r="D20" s="3" t="s">
        <v>145</v>
      </c>
      <c r="E20" s="3" t="s">
        <v>146</v>
      </c>
    </row>
    <row r="21">
      <c r="A21" s="2" t="s">
        <v>137</v>
      </c>
      <c r="B21" s="3" t="s">
        <v>118</v>
      </c>
      <c r="C21" s="5" t="str">
        <f>IFERROR(__xludf.DUMMYFUNCTION("LET(acronym, REGEXREPLACE(A21, ""(\w)\w*\s*"", ""$1""), IF(LEN(acronym) = 1, LEFT(A21, 2), acronym) &amp; B21 &amp; ""-p"")"),"CdlNCE6-p")</f>
        <v>CdlNCE6-p</v>
      </c>
      <c r="D21" s="3" t="s">
        <v>147</v>
      </c>
      <c r="E21" s="3" t="s">
        <v>148</v>
      </c>
    </row>
    <row r="22">
      <c r="A22" s="2" t="s">
        <v>149</v>
      </c>
      <c r="B22" s="3" t="s">
        <v>62</v>
      </c>
      <c r="C22" s="5" t="str">
        <f>IFERROR(__xludf.DUMMYFUNCTION("LET(acronym, REGEXREPLACE(A22, ""(\w)\w*\s*"", ""$1""), IF(LEN(acronym) = 1, LEFT(A22, 2), acronym) &amp; B22 &amp; ""-p"")"),"CSCE1-p")</f>
        <v>CSCE1-p</v>
      </c>
      <c r="D22" s="3" t="s">
        <v>150</v>
      </c>
      <c r="E22" s="3" t="s">
        <v>151</v>
      </c>
    </row>
    <row r="23">
      <c r="A23" s="2" t="s">
        <v>149</v>
      </c>
      <c r="B23" s="3" t="s">
        <v>64</v>
      </c>
      <c r="C23" s="5" t="str">
        <f>IFERROR(__xludf.DUMMYFUNCTION("LET(acronym, REGEXREPLACE(A23, ""(\w)\w*\s*"", ""$1""), IF(LEN(acronym) = 1, LEFT(A23, 2), acronym) &amp; B23 &amp; ""-p"")"),"CSCE2-p")</f>
        <v>CSCE2-p</v>
      </c>
      <c r="D23" s="3" t="s">
        <v>152</v>
      </c>
      <c r="E23" s="3" t="s">
        <v>129</v>
      </c>
    </row>
    <row r="24">
      <c r="A24" s="2" t="s">
        <v>149</v>
      </c>
      <c r="B24" s="3" t="s">
        <v>66</v>
      </c>
      <c r="C24" s="5" t="str">
        <f>IFERROR(__xludf.DUMMYFUNCTION("LET(acronym, REGEXREPLACE(A24, ""(\w)\w*\s*"", ""$1""), IF(LEN(acronym) = 1, LEFT(A24, 2), acronym) &amp; B24 &amp; ""-p"")"),"CSCE3-p")</f>
        <v>CSCE3-p</v>
      </c>
      <c r="D24" s="3" t="s">
        <v>153</v>
      </c>
      <c r="E24" s="3" t="s">
        <v>154</v>
      </c>
    </row>
    <row r="25">
      <c r="A25" s="2" t="s">
        <v>149</v>
      </c>
      <c r="B25" s="3" t="s">
        <v>112</v>
      </c>
      <c r="C25" s="5" t="str">
        <f>IFERROR(__xludf.DUMMYFUNCTION("LET(acronym, REGEXREPLACE(A25, ""(\w)\w*\s*"", ""$1""), IF(LEN(acronym) = 1, LEFT(A25, 2), acronym) &amp; B25 &amp; ""-p"")"),"CSCE4-p")</f>
        <v>CSCE4-p</v>
      </c>
      <c r="D25" s="3" t="s">
        <v>155</v>
      </c>
      <c r="E25" s="3" t="s">
        <v>156</v>
      </c>
    </row>
    <row r="26">
      <c r="A26" s="2" t="s">
        <v>149</v>
      </c>
      <c r="B26" s="3" t="s">
        <v>115</v>
      </c>
      <c r="C26" s="5" t="str">
        <f>IFERROR(__xludf.DUMMYFUNCTION("LET(acronym, REGEXREPLACE(A26, ""(\w)\w*\s*"", ""$1""), IF(LEN(acronym) = 1, LEFT(A26, 2), acronym) &amp; B26 &amp; ""-p"")"),"CSCE5-p")</f>
        <v>CSCE5-p</v>
      </c>
      <c r="D26" s="3" t="s">
        <v>157</v>
      </c>
      <c r="E26" s="3" t="s">
        <v>158</v>
      </c>
    </row>
    <row r="27">
      <c r="A27" s="2" t="s">
        <v>149</v>
      </c>
      <c r="B27" s="3" t="s">
        <v>118</v>
      </c>
      <c r="C27" s="5" t="str">
        <f>IFERROR(__xludf.DUMMYFUNCTION("LET(acronym, REGEXREPLACE(A27, ""(\w)\w*\s*"", ""$1""), IF(LEN(acronym) = 1, LEFT(A27, 2), acronym) &amp; B27 &amp; ""-p"")"),"CSCE6-p")</f>
        <v>CSCE6-p</v>
      </c>
      <c r="D27" s="3" t="s">
        <v>159</v>
      </c>
      <c r="E27" s="3" t="s">
        <v>148</v>
      </c>
    </row>
    <row r="28">
      <c r="A28" s="2" t="s">
        <v>160</v>
      </c>
      <c r="B28" s="3" t="s">
        <v>62</v>
      </c>
      <c r="C28" s="5" t="str">
        <f>IFERROR(__xludf.DUMMYFUNCTION("LET(acronym, REGEXREPLACE(A28, ""(\w)\w*\s*"", ""$1""), IF(LEN(acronym) = 1, LEFT(A28, 2), acronym) &amp; B28 &amp; ""-p"")"),"LECE1-p")</f>
        <v>LECE1-p</v>
      </c>
      <c r="D28" s="3" t="s">
        <v>161</v>
      </c>
      <c r="E28" s="3" t="s">
        <v>162</v>
      </c>
    </row>
    <row r="29">
      <c r="A29" s="2" t="s">
        <v>160</v>
      </c>
      <c r="B29" s="3" t="s">
        <v>64</v>
      </c>
      <c r="C29" s="5" t="str">
        <f>IFERROR(__xludf.DUMMYFUNCTION("LET(acronym, REGEXREPLACE(A29, ""(\w)\w*\s*"", ""$1""), IF(LEN(acronym) = 1, LEFT(A29, 2), acronym) &amp; B29 &amp; ""-p"")"),"LECE2-p")</f>
        <v>LECE2-p</v>
      </c>
      <c r="D29" s="3" t="s">
        <v>163</v>
      </c>
      <c r="E29" s="3" t="s">
        <v>164</v>
      </c>
    </row>
    <row r="30">
      <c r="A30" s="2" t="s">
        <v>160</v>
      </c>
      <c r="B30" s="3" t="s">
        <v>66</v>
      </c>
      <c r="C30" s="5" t="str">
        <f>IFERROR(__xludf.DUMMYFUNCTION("LET(acronym, REGEXREPLACE(A30, ""(\w)\w*\s*"", ""$1""), IF(LEN(acronym) = 1, LEFT(A30, 2), acronym) &amp; B30 &amp; ""-p"")"),"LECE3-p")</f>
        <v>LECE3-p</v>
      </c>
      <c r="D30" s="3" t="s">
        <v>165</v>
      </c>
      <c r="E30" s="3" t="s">
        <v>162</v>
      </c>
    </row>
    <row r="31">
      <c r="A31" s="2" t="s">
        <v>160</v>
      </c>
      <c r="B31" s="3" t="s">
        <v>112</v>
      </c>
      <c r="C31" s="5" t="str">
        <f>IFERROR(__xludf.DUMMYFUNCTION("LET(acronym, REGEXREPLACE(A31, ""(\w)\w*\s*"", ""$1""), IF(LEN(acronym) = 1, LEFT(A31, 2), acronym) &amp; B31 &amp; ""-p"")"),"LECE4-p")</f>
        <v>LECE4-p</v>
      </c>
      <c r="D31" s="3" t="s">
        <v>166</v>
      </c>
      <c r="E31" s="3" t="s">
        <v>164</v>
      </c>
    </row>
    <row r="32">
      <c r="A32" s="2" t="s">
        <v>160</v>
      </c>
      <c r="B32" s="3" t="s">
        <v>115</v>
      </c>
      <c r="C32" s="5" t="str">
        <f>IFERROR(__xludf.DUMMYFUNCTION("LET(acronym, REGEXREPLACE(A32, ""(\w)\w*\s*"", ""$1""), IF(LEN(acronym) = 1, LEFT(A32, 2), acronym) &amp; B32 &amp; ""-p"")"),"LECE5-p")</f>
        <v>LECE5-p</v>
      </c>
      <c r="D32" s="3" t="s">
        <v>167</v>
      </c>
      <c r="E32" s="3" t="s">
        <v>168</v>
      </c>
    </row>
    <row r="33">
      <c r="A33" s="2" t="s">
        <v>160</v>
      </c>
      <c r="B33" s="3" t="s">
        <v>118</v>
      </c>
      <c r="C33" s="5" t="str">
        <f>IFERROR(__xludf.DUMMYFUNCTION("LET(acronym, REGEXREPLACE(A33, ""(\w)\w*\s*"", ""$1""), IF(LEN(acronym) = 1, LEFT(A33, 2), acronym) &amp; B33 &amp; ""-p"")"),"LECE6-p")</f>
        <v>LECE6-p</v>
      </c>
      <c r="D33" s="3" t="s">
        <v>169</v>
      </c>
      <c r="E33" s="3" t="s">
        <v>170</v>
      </c>
    </row>
    <row r="34">
      <c r="A34" s="2" t="s">
        <v>171</v>
      </c>
      <c r="B34" s="3" t="s">
        <v>62</v>
      </c>
      <c r="C34" s="5" t="str">
        <f>IFERROR(__xludf.DUMMYFUNCTION("LET(acronym, REGEXREPLACE(A34, ""(\w)\w*\s*"", ""$1""), IF(LEN(acronym) = 1, LEFT(A34, 2), acronym) &amp; B34 &amp; ""-p"")"),"EónAísCE1-p")</f>
        <v>EónAísCE1-p</v>
      </c>
      <c r="D34" s="3" t="s">
        <v>172</v>
      </c>
      <c r="E34" s="3" t="s">
        <v>173</v>
      </c>
    </row>
    <row r="35">
      <c r="A35" s="2" t="s">
        <v>171</v>
      </c>
      <c r="B35" s="3" t="s">
        <v>64</v>
      </c>
      <c r="C35" s="5" t="str">
        <f>IFERROR(__xludf.DUMMYFUNCTION("LET(acronym, REGEXREPLACE(A35, ""(\w)\w*\s*"", ""$1""), IF(LEN(acronym) = 1, LEFT(A35, 2), acronym) &amp; B35 &amp; ""-p"")"),"EónAísCE2-p")</f>
        <v>EónAísCE2-p</v>
      </c>
      <c r="D35" s="3" t="s">
        <v>174</v>
      </c>
      <c r="E35" s="3" t="s">
        <v>175</v>
      </c>
    </row>
    <row r="36">
      <c r="A36" s="2" t="s">
        <v>171</v>
      </c>
      <c r="B36" s="3" t="s">
        <v>66</v>
      </c>
      <c r="C36" s="5" t="str">
        <f>IFERROR(__xludf.DUMMYFUNCTION("LET(acronym, REGEXREPLACE(A36, ""(\w)\w*\s*"", ""$1""), IF(LEN(acronym) = 1, LEFT(A36, 2), acronym) &amp; B36 &amp; ""-p"")"),"EónAísCE3-p")</f>
        <v>EónAísCE3-p</v>
      </c>
      <c r="D36" s="3" t="s">
        <v>176</v>
      </c>
      <c r="E36" s="3" t="s">
        <v>156</v>
      </c>
    </row>
    <row r="37">
      <c r="A37" s="2" t="s">
        <v>171</v>
      </c>
      <c r="B37" s="3" t="s">
        <v>112</v>
      </c>
      <c r="C37" s="5" t="str">
        <f>IFERROR(__xludf.DUMMYFUNCTION("LET(acronym, REGEXREPLACE(A37, ""(\w)\w*\s*"", ""$1""), IF(LEN(acronym) = 1, LEFT(A37, 2), acronym) &amp; B37 &amp; ""-p"")"),"EónAísCE4-p")</f>
        <v>EónAísCE4-p</v>
      </c>
      <c r="D37" s="3" t="s">
        <v>177</v>
      </c>
      <c r="E37" s="3" t="s">
        <v>178</v>
      </c>
    </row>
    <row r="38">
      <c r="A38" s="2" t="s">
        <v>171</v>
      </c>
      <c r="B38" s="3" t="s">
        <v>115</v>
      </c>
      <c r="C38" s="5" t="str">
        <f>IFERROR(__xludf.DUMMYFUNCTION("LET(acronym, REGEXREPLACE(A38, ""(\w)\w*\s*"", ""$1""), IF(LEN(acronym) = 1, LEFT(A38, 2), acronym) &amp; B38 &amp; ""-p"")"),"EónAísCE5-p")</f>
        <v>EónAísCE5-p</v>
      </c>
      <c r="D38" s="3" t="s">
        <v>179</v>
      </c>
      <c r="E38" s="3" t="s">
        <v>180</v>
      </c>
    </row>
    <row r="39">
      <c r="A39" s="2" t="s">
        <v>181</v>
      </c>
      <c r="B39" s="3" t="s">
        <v>62</v>
      </c>
      <c r="C39" s="5" t="str">
        <f>IFERROR(__xludf.DUMMYFUNCTION("LET(acronym, REGEXREPLACE(A39, ""(\w)\w*\s*"", ""$1""), IF(LEN(acronym) = 1, LEFT(A39, 2), acronym) &amp; B39 &amp; ""-p"")"),"EónFísCE1-p")</f>
        <v>EónFísCE1-p</v>
      </c>
      <c r="D39" s="3" t="s">
        <v>182</v>
      </c>
      <c r="E39" s="3" t="s">
        <v>144</v>
      </c>
    </row>
    <row r="40">
      <c r="A40" s="2" t="s">
        <v>181</v>
      </c>
      <c r="B40" s="3" t="s">
        <v>64</v>
      </c>
      <c r="C40" s="5" t="str">
        <f>IFERROR(__xludf.DUMMYFUNCTION("LET(acronym, REGEXREPLACE(A40, ""(\w)\w*\s*"", ""$1""), IF(LEN(acronym) = 1, LEFT(A40, 2), acronym) &amp; B40 &amp; ""-p"")"),"EónFísCE2-p")</f>
        <v>EónFísCE2-p</v>
      </c>
      <c r="D40" s="3" t="s">
        <v>183</v>
      </c>
      <c r="E40" s="3" t="s">
        <v>184</v>
      </c>
    </row>
    <row r="41">
      <c r="A41" s="2" t="s">
        <v>181</v>
      </c>
      <c r="B41" s="3" t="s">
        <v>66</v>
      </c>
      <c r="C41" s="5" t="str">
        <f>IFERROR(__xludf.DUMMYFUNCTION("LET(acronym, REGEXREPLACE(A41, ""(\w)\w*\s*"", ""$1""), IF(LEN(acronym) = 1, LEFT(A41, 2), acronym) &amp; B41 &amp; ""-p"")"),"EónFísCE3-p")</f>
        <v>EónFísCE3-p</v>
      </c>
      <c r="D41" s="3" t="s">
        <v>185</v>
      </c>
      <c r="E41" s="3" t="s">
        <v>144</v>
      </c>
    </row>
    <row r="42">
      <c r="A42" s="2" t="s">
        <v>181</v>
      </c>
      <c r="B42" s="3" t="s">
        <v>112</v>
      </c>
      <c r="C42" s="5" t="str">
        <f>IFERROR(__xludf.DUMMYFUNCTION("LET(acronym, REGEXREPLACE(A42, ""(\w)\w*\s*"", ""$1""), IF(LEN(acronym) = 1, LEFT(A42, 2), acronym) &amp; B42 &amp; ""-p"")"),"EónFísCE4-p")</f>
        <v>EónFísCE4-p</v>
      </c>
      <c r="D42" s="3" t="s">
        <v>186</v>
      </c>
      <c r="E42" s="3" t="s">
        <v>187</v>
      </c>
    </row>
    <row r="43">
      <c r="A43" s="2" t="s">
        <v>181</v>
      </c>
      <c r="B43" s="3" t="s">
        <v>115</v>
      </c>
      <c r="C43" s="5" t="str">
        <f>IFERROR(__xludf.DUMMYFUNCTION("LET(acronym, REGEXREPLACE(A43, ""(\w)\w*\s*"", ""$1""), IF(LEN(acronym) = 1, LEFT(A43, 2), acronym) &amp; B43 &amp; ""-p"")"),"EónFísCE5-p")</f>
        <v>EónFísCE5-p</v>
      </c>
      <c r="D43" s="3" t="s">
        <v>188</v>
      </c>
      <c r="E43" s="3" t="s">
        <v>189</v>
      </c>
    </row>
    <row r="44">
      <c r="A44" s="2" t="s">
        <v>190</v>
      </c>
      <c r="B44" s="3" t="s">
        <v>62</v>
      </c>
      <c r="C44" s="5" t="str">
        <f>IFERROR(__xludf.DUMMYFUNCTION("LET(acronym, REGEXREPLACE(A44, ""(\w)\w*\s*"", ""$1""), IF(LEN(acronym) = 1, LEFT(A44, 2), acronym) &amp; B44 &amp; ""-p"")"),"VCívyÉtCE1-p")</f>
        <v>VCívyÉtCE1-p</v>
      </c>
      <c r="D44" s="3" t="s">
        <v>191</v>
      </c>
      <c r="E44" s="3" t="s">
        <v>154</v>
      </c>
    </row>
    <row r="45">
      <c r="A45" s="2" t="s">
        <v>190</v>
      </c>
      <c r="B45" s="3" t="s">
        <v>64</v>
      </c>
      <c r="C45" s="5" t="str">
        <f>IFERROR(__xludf.DUMMYFUNCTION("LET(acronym, REGEXREPLACE(A45, ""(\w)\w*\s*"", ""$1""), IF(LEN(acronym) = 1, LEFT(A45, 2), acronym) &amp; B45 &amp; ""-p"")"),"VCívyÉtCE2-p")</f>
        <v>VCívyÉtCE2-p</v>
      </c>
      <c r="D45" s="3" t="s">
        <v>192</v>
      </c>
      <c r="E45" s="3" t="s">
        <v>154</v>
      </c>
    </row>
    <row r="46">
      <c r="A46" s="2" t="s">
        <v>190</v>
      </c>
      <c r="B46" s="3" t="s">
        <v>66</v>
      </c>
      <c r="C46" s="5" t="str">
        <f>IFERROR(__xludf.DUMMYFUNCTION("LET(acronym, REGEXREPLACE(A46, ""(\w)\w*\s*"", ""$1""), IF(LEN(acronym) = 1, LEFT(A46, 2), acronym) &amp; B46 &amp; ""-p"")"),"VCívyÉtCE3-p")</f>
        <v>VCívyÉtCE3-p</v>
      </c>
      <c r="D46" s="3" t="s">
        <v>193</v>
      </c>
      <c r="E46" s="3" t="s">
        <v>184</v>
      </c>
    </row>
    <row r="47">
      <c r="A47" s="2" t="s">
        <v>190</v>
      </c>
      <c r="B47" s="3" t="s">
        <v>112</v>
      </c>
      <c r="C47" s="5" t="str">
        <f>IFERROR(__xludf.DUMMYFUNCTION("LET(acronym, REGEXREPLACE(A47, ""(\w)\w*\s*"", ""$1""), IF(LEN(acronym) = 1, LEFT(A47, 2), acronym) &amp; B47 &amp; ""-p"")"),"VCívyÉtCE4-p")</f>
        <v>VCívyÉtCE4-p</v>
      </c>
      <c r="D47" s="3" t="s">
        <v>194</v>
      </c>
      <c r="E47" s="3" t="s">
        <v>195</v>
      </c>
    </row>
    <row r="48">
      <c r="A48" s="2" t="s">
        <v>190</v>
      </c>
      <c r="B48" s="3" t="s">
        <v>115</v>
      </c>
      <c r="C48" s="5" t="str">
        <f>IFERROR(__xludf.DUMMYFUNCTION("LET(acronym, REGEXREPLACE(A48, ""(\w)\w*\s*"", ""$1""), IF(LEN(acronym) = 1, LEFT(A48, 2), acronym) &amp; B48 &amp; ""-p"")"),"VCívyÉtCE5-p")</f>
        <v>VCívyÉtCE5-p</v>
      </c>
      <c r="D48" s="3" t="s">
        <v>196</v>
      </c>
      <c r="E48" s="3" t="s">
        <v>146</v>
      </c>
    </row>
    <row r="49">
      <c r="A49" s="2" t="s">
        <v>197</v>
      </c>
      <c r="B49" s="3" t="s">
        <v>62</v>
      </c>
      <c r="C49" s="5" t="str">
        <f>IFERROR(__xludf.DUMMYFUNCTION("LET(acronym, REGEXREPLACE(A49, ""(\w)\w*\s*"", ""$1""), IF(LEN(acronym) = 1, LEFT(A49, 2), acronym) &amp; B49 &amp; ""-p"")"),"LCyLCE1-p")</f>
        <v>LCyLCE1-p</v>
      </c>
      <c r="D49" s="3" t="s">
        <v>198</v>
      </c>
      <c r="E49" s="3" t="s">
        <v>199</v>
      </c>
    </row>
    <row r="50">
      <c r="A50" s="2" t="s">
        <v>197</v>
      </c>
      <c r="B50" s="3" t="s">
        <v>64</v>
      </c>
      <c r="C50" s="5" t="str">
        <f>IFERROR(__xludf.DUMMYFUNCTION("LET(acronym, REGEXREPLACE(A50, ""(\w)\w*\s*"", ""$1""), IF(LEN(acronym) = 1, LEFT(A50, 2), acronym) &amp; B50 &amp; ""-p"")"),"LCyLCE2-p")</f>
        <v>LCyLCE2-p</v>
      </c>
      <c r="D50" s="3" t="s">
        <v>200</v>
      </c>
      <c r="E50" s="3" t="s">
        <v>201</v>
      </c>
    </row>
    <row r="51">
      <c r="A51" s="2" t="s">
        <v>197</v>
      </c>
      <c r="B51" s="3" t="s">
        <v>66</v>
      </c>
      <c r="C51" s="5" t="str">
        <f>IFERROR(__xludf.DUMMYFUNCTION("LET(acronym, REGEXREPLACE(A51, ""(\w)\w*\s*"", ""$1""), IF(LEN(acronym) = 1, LEFT(A51, 2), acronym) &amp; B51 &amp; ""-p"")"),"LCyLCE3-p")</f>
        <v>LCyLCE3-p</v>
      </c>
      <c r="D51" s="3" t="s">
        <v>202</v>
      </c>
      <c r="E51" s="3" t="s">
        <v>199</v>
      </c>
    </row>
    <row r="52">
      <c r="A52" s="2" t="s">
        <v>197</v>
      </c>
      <c r="B52" s="3" t="s">
        <v>112</v>
      </c>
      <c r="C52" s="5" t="str">
        <f>IFERROR(__xludf.DUMMYFUNCTION("LET(acronym, REGEXREPLACE(A52, ""(\w)\w*\s*"", ""$1""), IF(LEN(acronym) = 1, LEFT(A52, 2), acronym) &amp; B52 &amp; ""-p"")"),"LCyLCE4-p")</f>
        <v>LCyLCE4-p</v>
      </c>
      <c r="D52" s="3" t="s">
        <v>203</v>
      </c>
      <c r="E52" s="3" t="s">
        <v>201</v>
      </c>
    </row>
    <row r="53">
      <c r="A53" s="2" t="s">
        <v>197</v>
      </c>
      <c r="B53" s="3" t="s">
        <v>115</v>
      </c>
      <c r="C53" s="5" t="str">
        <f>IFERROR(__xludf.DUMMYFUNCTION("LET(acronym, REGEXREPLACE(A53, ""(\w)\w*\s*"", ""$1""), IF(LEN(acronym) = 1, LEFT(A53, 2), acronym) &amp; B53 &amp; ""-p"")"),"LCyLCE5-p")</f>
        <v>LCyLCE5-p</v>
      </c>
      <c r="D53" s="3" t="s">
        <v>204</v>
      </c>
      <c r="E53" s="3" t="s">
        <v>205</v>
      </c>
    </row>
    <row r="54">
      <c r="A54" s="2" t="s">
        <v>197</v>
      </c>
      <c r="B54" s="3" t="s">
        <v>118</v>
      </c>
      <c r="C54" s="5" t="str">
        <f>IFERROR(__xludf.DUMMYFUNCTION("LET(acronym, REGEXREPLACE(A54, ""(\w)\w*\s*"", ""$1""), IF(LEN(acronym) = 1, LEFT(A54, 2), acronym) &amp; B54 &amp; ""-p"")"),"LCyLCE6-p")</f>
        <v>LCyLCE6-p</v>
      </c>
      <c r="D54" s="3" t="s">
        <v>206</v>
      </c>
      <c r="E54" s="3" t="s">
        <v>168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44.5"/>
    <col customWidth="1" min="2" max="2" width="30.88"/>
    <col customWidth="1" min="3" max="3" width="16.25"/>
    <col customWidth="1" min="4" max="4" width="130.0"/>
    <col customWidth="1" min="5" max="5" width="26.13"/>
  </cols>
  <sheetData>
    <row r="1">
      <c r="A1" s="1" t="s">
        <v>207</v>
      </c>
      <c r="B1" s="1" t="s">
        <v>102</v>
      </c>
      <c r="C1" s="1" t="s">
        <v>77</v>
      </c>
      <c r="D1" s="1" t="s">
        <v>103</v>
      </c>
      <c r="E1" s="1" t="s">
        <v>104</v>
      </c>
    </row>
    <row r="2">
      <c r="A2" s="2" t="s">
        <v>105</v>
      </c>
      <c r="B2" s="3" t="s">
        <v>62</v>
      </c>
      <c r="C2" s="5" t="str">
        <f>IFERROR(__xludf.DUMMYFUNCTION("LET(acronym, REGEXREPLACE(A2, ""(\w)\w*\s*"", ""$1""), IF(LEN(acronym) = 1, LEFT(A2, 2), acronym) &amp; B2 &amp; ""-s"")"),"LCyLCE1-s")</f>
        <v>LCyLCE1-s</v>
      </c>
      <c r="D2" s="3" t="s">
        <v>208</v>
      </c>
      <c r="E2" s="3" t="s">
        <v>111</v>
      </c>
    </row>
    <row r="3">
      <c r="A3" s="2" t="s">
        <v>105</v>
      </c>
      <c r="B3" s="3" t="s">
        <v>64</v>
      </c>
      <c r="C3" s="5" t="str">
        <f>IFERROR(__xludf.DUMMYFUNCTION("LET(acronym, REGEXREPLACE(A3, ""(\w)\w*\s*"", ""$1""), IF(LEN(acronym) = 1, LEFT(A3, 2), acronym) &amp; B3 &amp; ""-s"")"),"LCyLCE2-s")</f>
        <v>LCyLCE2-s</v>
      </c>
      <c r="D3" s="3" t="s">
        <v>209</v>
      </c>
      <c r="E3" s="3" t="s">
        <v>114</v>
      </c>
    </row>
    <row r="4">
      <c r="A4" s="2" t="s">
        <v>105</v>
      </c>
      <c r="B4" s="3" t="s">
        <v>66</v>
      </c>
      <c r="C4" s="5" t="str">
        <f>IFERROR(__xludf.DUMMYFUNCTION("LET(acronym, REGEXREPLACE(A4, ""(\w)\w*\s*"", ""$1""), IF(LEN(acronym) = 1, LEFT(A4, 2), acronym) &amp; B4 &amp; ""-s"")"),"LCyLCE3-s")</f>
        <v>LCyLCE3-s</v>
      </c>
      <c r="D4" s="3" t="s">
        <v>210</v>
      </c>
      <c r="E4" s="3" t="s">
        <v>205</v>
      </c>
    </row>
    <row r="5">
      <c r="A5" s="2" t="s">
        <v>105</v>
      </c>
      <c r="B5" s="3" t="s">
        <v>112</v>
      </c>
      <c r="C5" s="5" t="str">
        <f>IFERROR(__xludf.DUMMYFUNCTION("LET(acronym, REGEXREPLACE(A5, ""(\w)\w*\s*"", ""$1""), IF(LEN(acronym) = 1, LEFT(A5, 2), acronym) &amp; B5 &amp; ""-s"")"),"LCyLCE4-s")</f>
        <v>LCyLCE4-s</v>
      </c>
      <c r="D5" s="3" t="s">
        <v>211</v>
      </c>
      <c r="E5" s="3" t="s">
        <v>8</v>
      </c>
    </row>
    <row r="6">
      <c r="A6" s="2" t="s">
        <v>105</v>
      </c>
      <c r="B6" s="3" t="s">
        <v>115</v>
      </c>
      <c r="C6" s="5" t="str">
        <f>IFERROR(__xludf.DUMMYFUNCTION("LET(acronym, REGEXREPLACE(A6, ""(\w)\w*\s*"", ""$1""), IF(LEN(acronym) = 1, LEFT(A6, 2), acronym) &amp; B6 &amp; ""-s"")"),"LCyLCE5-s")</f>
        <v>LCyLCE5-s</v>
      </c>
      <c r="D6" s="3" t="s">
        <v>212</v>
      </c>
      <c r="E6" s="3" t="s">
        <v>122</v>
      </c>
    </row>
    <row r="7">
      <c r="A7" s="2" t="s">
        <v>105</v>
      </c>
      <c r="B7" s="3" t="s">
        <v>118</v>
      </c>
      <c r="C7" s="5" t="str">
        <f>IFERROR(__xludf.DUMMYFUNCTION("LET(acronym, REGEXREPLACE(A7, ""(\w)\w*\s*"", ""$1""), IF(LEN(acronym) = 1, LEFT(A7, 2), acronym) &amp; B7 &amp; ""-s"")"),"LCyLCE6-s")</f>
        <v>LCyLCE6-s</v>
      </c>
      <c r="D7" s="3" t="s">
        <v>213</v>
      </c>
      <c r="E7" s="3" t="s">
        <v>125</v>
      </c>
    </row>
    <row r="8">
      <c r="A8" s="2" t="s">
        <v>214</v>
      </c>
      <c r="B8" s="3" t="s">
        <v>62</v>
      </c>
      <c r="C8" s="5" t="str">
        <f>IFERROR(__xludf.DUMMYFUNCTION("LET(acronym, REGEXREPLACE(A8, ""(\w)\w*\s*"", ""$1""), IF(LEN(acronym) = 1, LEFT(A8, 2), acronym) &amp; B8 &amp; ""-s"")"),"GíaeHCE1-s")</f>
        <v>GíaeHCE1-s</v>
      </c>
      <c r="D8" s="3" t="s">
        <v>215</v>
      </c>
      <c r="E8" s="3" t="s">
        <v>216</v>
      </c>
    </row>
    <row r="9">
      <c r="A9" s="2" t="s">
        <v>214</v>
      </c>
      <c r="B9" s="3" t="s">
        <v>64</v>
      </c>
      <c r="C9" s="5" t="str">
        <f>IFERROR(__xludf.DUMMYFUNCTION("LET(acronym, REGEXREPLACE(A9, ""(\w)\w*\s*"", ""$1""), IF(LEN(acronym) = 1, LEFT(A9, 2), acronym) &amp; B9 &amp; ""-s"")"),"GíaeHCE2-s")</f>
        <v>GíaeHCE2-s</v>
      </c>
      <c r="D9" s="3" t="s">
        <v>217</v>
      </c>
      <c r="E9" s="3" t="s">
        <v>28</v>
      </c>
    </row>
    <row r="10">
      <c r="A10" s="2" t="s">
        <v>214</v>
      </c>
      <c r="B10" s="3" t="s">
        <v>66</v>
      </c>
      <c r="C10" s="5" t="str">
        <f>IFERROR(__xludf.DUMMYFUNCTION("LET(acronym, REGEXREPLACE(A10, ""(\w)\w*\s*"", ""$1""), IF(LEN(acronym) = 1, LEFT(A10, 2), acronym) &amp; B10 &amp; ""-s"")"),"GíaeHCE3-s")</f>
        <v>GíaeHCE3-s</v>
      </c>
      <c r="D10" s="3" t="s">
        <v>218</v>
      </c>
      <c r="E10" s="3" t="s">
        <v>219</v>
      </c>
    </row>
    <row r="11">
      <c r="A11" s="2" t="s">
        <v>214</v>
      </c>
      <c r="B11" s="3" t="s">
        <v>112</v>
      </c>
      <c r="C11" s="5" t="str">
        <f>IFERROR(__xludf.DUMMYFUNCTION("LET(acronym, REGEXREPLACE(A11, ""(\w)\w*\s*"", ""$1""), IF(LEN(acronym) = 1, LEFT(A11, 2), acronym) &amp; B11 &amp; ""-s"")"),"GíaeHCE4-s")</f>
        <v>GíaeHCE4-s</v>
      </c>
      <c r="D11" s="3" t="s">
        <v>220</v>
      </c>
      <c r="E11" s="3" t="s">
        <v>156</v>
      </c>
    </row>
    <row r="12">
      <c r="A12" s="2" t="s">
        <v>214</v>
      </c>
      <c r="B12" s="3" t="s">
        <v>115</v>
      </c>
      <c r="C12" s="5" t="str">
        <f>IFERROR(__xludf.DUMMYFUNCTION("LET(acronym, REGEXREPLACE(A12, ""(\w)\w*\s*"", ""$1""), IF(LEN(acronym) = 1, LEFT(A12, 2), acronym) &amp; B12 &amp; ""-s"")"),"GíaeHCE5-s")</f>
        <v>GíaeHCE5-s</v>
      </c>
      <c r="D12" s="3" t="s">
        <v>221</v>
      </c>
      <c r="E12" s="3" t="s">
        <v>222</v>
      </c>
    </row>
    <row r="13">
      <c r="A13" s="2" t="s">
        <v>214</v>
      </c>
      <c r="B13" s="3" t="s">
        <v>118</v>
      </c>
      <c r="C13" s="5" t="str">
        <f>IFERROR(__xludf.DUMMYFUNCTION("LET(acronym, REGEXREPLACE(A13, ""(\w)\w*\s*"", ""$1""), IF(LEN(acronym) = 1, LEFT(A13, 2), acronym) &amp; B13 &amp; ""-s"")"),"GíaeHCE6-s")</f>
        <v>GíaeHCE6-s</v>
      </c>
      <c r="D13" s="3" t="s">
        <v>223</v>
      </c>
      <c r="E13" s="3" t="s">
        <v>158</v>
      </c>
    </row>
    <row r="14">
      <c r="A14" s="2" t="s">
        <v>126</v>
      </c>
      <c r="B14" s="3" t="s">
        <v>62</v>
      </c>
      <c r="C14" s="5" t="str">
        <f>IFERROR(__xludf.DUMMYFUNCTION("LET(acronym, REGEXREPLACE(A14, ""(\w)\w*\s*"", ""$1""), IF(LEN(acronym) = 1, LEFT(A14, 2), acronym) &amp; B14 &amp; ""-s"")"),"MátCE1-s")</f>
        <v>MátCE1-s</v>
      </c>
      <c r="D14" s="3" t="s">
        <v>224</v>
      </c>
      <c r="E14" s="3" t="s">
        <v>22</v>
      </c>
    </row>
    <row r="15">
      <c r="A15" s="2" t="s">
        <v>126</v>
      </c>
      <c r="B15" s="3" t="s">
        <v>64</v>
      </c>
      <c r="C15" s="5" t="str">
        <f>IFERROR(__xludf.DUMMYFUNCTION("LET(acronym, REGEXREPLACE(A15, ""(\w)\w*\s*"", ""$1""), IF(LEN(acronym) = 1, LEFT(A15, 2), acronym) &amp; B15 &amp; ""-s"")"),"MátCE2-s")</f>
        <v>MátCE2-s</v>
      </c>
      <c r="D15" s="3" t="s">
        <v>225</v>
      </c>
      <c r="E15" s="3" t="s">
        <v>28</v>
      </c>
    </row>
    <row r="16">
      <c r="A16" s="2" t="s">
        <v>126</v>
      </c>
      <c r="B16" s="3" t="s">
        <v>66</v>
      </c>
      <c r="C16" s="5" t="str">
        <f>IFERROR(__xludf.DUMMYFUNCTION("LET(acronym, REGEXREPLACE(A16, ""(\w)\w*\s*"", ""$1""), IF(LEN(acronym) = 1, LEFT(A16, 2), acronym) &amp; B16 &amp; ""-s"")"),"MátCE3-s")</f>
        <v>MátCE3-s</v>
      </c>
      <c r="D16" s="3" t="s">
        <v>226</v>
      </c>
      <c r="E16" s="3" t="s">
        <v>22</v>
      </c>
    </row>
    <row r="17">
      <c r="A17" s="2" t="s">
        <v>126</v>
      </c>
      <c r="B17" s="3" t="s">
        <v>112</v>
      </c>
      <c r="C17" s="5" t="str">
        <f>IFERROR(__xludf.DUMMYFUNCTION("LET(acronym, REGEXREPLACE(A17, ""(\w)\w*\s*"", ""$1""), IF(LEN(acronym) = 1, LEFT(A17, 2), acronym) &amp; B17 &amp; ""-s"")"),"MátCE4-s")</f>
        <v>MátCE4-s</v>
      </c>
      <c r="D17" s="3" t="s">
        <v>227</v>
      </c>
      <c r="E17" s="3" t="s">
        <v>134</v>
      </c>
    </row>
    <row r="18">
      <c r="A18" s="2" t="s">
        <v>126</v>
      </c>
      <c r="B18" s="3" t="s">
        <v>115</v>
      </c>
      <c r="C18" s="5" t="str">
        <f>IFERROR(__xludf.DUMMYFUNCTION("LET(acronym, REGEXREPLACE(A18, ""(\w)\w*\s*"", ""$1""), IF(LEN(acronym) = 1, LEFT(A18, 2), acronym) &amp; B18 &amp; ""-s"")"),"MátCE5-s")</f>
        <v>MátCE5-s</v>
      </c>
      <c r="D18" s="3" t="s">
        <v>228</v>
      </c>
      <c r="E18" s="3" t="s">
        <v>187</v>
      </c>
    </row>
    <row r="19">
      <c r="A19" s="2" t="s">
        <v>229</v>
      </c>
      <c r="B19" s="3" t="s">
        <v>62</v>
      </c>
      <c r="C19" s="5" t="str">
        <f>IFERROR(__xludf.DUMMYFUNCTION("LET(acronym, REGEXREPLACE(A19, ""(\w)\w*\s*"", ""$1""), IF(LEN(acronym) = 1, LEFT(A19, 2), acronym) &amp; B19 &amp; ""-s"")"),"BíayGíaCE1-s")</f>
        <v>BíayGíaCE1-s</v>
      </c>
      <c r="D19" s="3" t="s">
        <v>230</v>
      </c>
      <c r="E19" s="3" t="s">
        <v>24</v>
      </c>
    </row>
    <row r="20">
      <c r="A20" s="2" t="s">
        <v>229</v>
      </c>
      <c r="B20" s="3" t="s">
        <v>64</v>
      </c>
      <c r="C20" s="5" t="str">
        <f>IFERROR(__xludf.DUMMYFUNCTION("LET(acronym, REGEXREPLACE(A20, ""(\w)\w*\s*"", ""$1""), IF(LEN(acronym) = 1, LEFT(A20, 2), acronym) &amp; B20 &amp; ""-s"")"),"BíayGíaCE2-s")</f>
        <v>BíayGíaCE2-s</v>
      </c>
      <c r="D20" s="3" t="s">
        <v>231</v>
      </c>
      <c r="E20" s="3" t="s">
        <v>141</v>
      </c>
    </row>
    <row r="21">
      <c r="A21" s="2" t="s">
        <v>229</v>
      </c>
      <c r="B21" s="3" t="s">
        <v>66</v>
      </c>
      <c r="C21" s="5" t="str">
        <f>IFERROR(__xludf.DUMMYFUNCTION("LET(acronym, REGEXREPLACE(A21, ""(\w)\w*\s*"", ""$1""), IF(LEN(acronym) = 1, LEFT(A21, 2), acronym) &amp; B21 &amp; ""-s"")"),"BíayGíaCE3-s")</f>
        <v>BíayGíaCE3-s</v>
      </c>
      <c r="D21" s="3" t="s">
        <v>232</v>
      </c>
      <c r="E21" s="3" t="s">
        <v>144</v>
      </c>
    </row>
    <row r="22">
      <c r="A22" s="2" t="s">
        <v>229</v>
      </c>
      <c r="B22" s="3" t="s">
        <v>112</v>
      </c>
      <c r="C22" s="5" t="str">
        <f>IFERROR(__xludf.DUMMYFUNCTION("LET(acronym, REGEXREPLACE(A22, ""(\w)\w*\s*"", ""$1""), IF(LEN(acronym) = 1, LEFT(A22, 2), acronym) &amp; B22 &amp; ""-s"")"),"BíayGíaCE4-s")</f>
        <v>BíayGíaCE4-s</v>
      </c>
      <c r="D22" s="3" t="s">
        <v>233</v>
      </c>
      <c r="E22" s="3" t="s">
        <v>146</v>
      </c>
    </row>
    <row r="23">
      <c r="A23" s="2" t="s">
        <v>229</v>
      </c>
      <c r="B23" s="3" t="s">
        <v>115</v>
      </c>
      <c r="C23" s="5" t="str">
        <f>IFERROR(__xludf.DUMMYFUNCTION("LET(acronym, REGEXREPLACE(A23, ""(\w)\w*\s*"", ""$1""), IF(LEN(acronym) = 1, LEFT(A23, 2), acronym) &amp; B23 &amp; ""-s"")"),"BíayGíaCE5-s")</f>
        <v>BíayGíaCE5-s</v>
      </c>
      <c r="D23" s="3" t="s">
        <v>234</v>
      </c>
      <c r="E23" s="3" t="s">
        <v>148</v>
      </c>
    </row>
    <row r="24">
      <c r="A24" s="2" t="s">
        <v>235</v>
      </c>
      <c r="B24" s="3" t="s">
        <v>62</v>
      </c>
      <c r="C24" s="5" t="str">
        <f>IFERROR(__xludf.DUMMYFUNCTION("LET(acronym, REGEXREPLACE(A24, ""(\w)\w*\s*"", ""$1""), IF(LEN(acronym) = 1, LEFT(A24, 2), acronym) &amp; B24 &amp; ""-s"")"),"FísyQímCE1-s")</f>
        <v>FísyQímCE1-s</v>
      </c>
      <c r="D24" s="3" t="s">
        <v>236</v>
      </c>
      <c r="E24" s="3" t="s">
        <v>24</v>
      </c>
    </row>
    <row r="25">
      <c r="A25" s="2" t="s">
        <v>235</v>
      </c>
      <c r="B25" s="3" t="s">
        <v>64</v>
      </c>
      <c r="C25" s="5" t="str">
        <f>IFERROR(__xludf.DUMMYFUNCTION("LET(acronym, REGEXREPLACE(A25, ""(\w)\w*\s*"", ""$1""), IF(LEN(acronym) = 1, LEFT(A25, 2), acronym) &amp; B25 &amp; ""-s"")"),"FísyQímCE2-s")</f>
        <v>FísyQímCE2-s</v>
      </c>
      <c r="D25" s="3" t="s">
        <v>237</v>
      </c>
      <c r="E25" s="3" t="s">
        <v>141</v>
      </c>
    </row>
    <row r="26">
      <c r="A26" s="2" t="s">
        <v>235</v>
      </c>
      <c r="B26" s="3" t="s">
        <v>66</v>
      </c>
      <c r="C26" s="5" t="str">
        <f>IFERROR(__xludf.DUMMYFUNCTION("LET(acronym, REGEXREPLACE(A26, ""(\w)\w*\s*"", ""$1""), IF(LEN(acronym) = 1, LEFT(A26, 2), acronym) &amp; B26 &amp; ""-s"")"),"FísyQímCE3-s")</f>
        <v>FísyQímCE3-s</v>
      </c>
      <c r="D26" s="3" t="s">
        <v>238</v>
      </c>
      <c r="E26" s="3" t="s">
        <v>22</v>
      </c>
    </row>
    <row r="27">
      <c r="A27" s="2" t="s">
        <v>235</v>
      </c>
      <c r="B27" s="3" t="s">
        <v>112</v>
      </c>
      <c r="C27" s="5" t="str">
        <f>IFERROR(__xludf.DUMMYFUNCTION("LET(acronym, REGEXREPLACE(A27, ""(\w)\w*\s*"", ""$1""), IF(LEN(acronym) = 1, LEFT(A27, 2), acronym) &amp; B27 &amp; ""-s"")"),"FísyQímCE4-s")</f>
        <v>FísyQímCE4-s</v>
      </c>
      <c r="D27" s="3" t="s">
        <v>239</v>
      </c>
      <c r="E27" s="3" t="s">
        <v>146</v>
      </c>
    </row>
    <row r="28">
      <c r="A28" s="2" t="s">
        <v>235</v>
      </c>
      <c r="B28" s="3" t="s">
        <v>115</v>
      </c>
      <c r="C28" s="5" t="str">
        <f>IFERROR(__xludf.DUMMYFUNCTION("LET(acronym, REGEXREPLACE(A28, ""(\w)\w*\s*"", ""$1""), IF(LEN(acronym) = 1, LEFT(A28, 2), acronym) &amp; B28 &amp; ""-s"")"),"FísyQímCE5-s")</f>
        <v>FísyQímCE5-s</v>
      </c>
      <c r="D28" s="3" t="s">
        <v>240</v>
      </c>
      <c r="E28" s="3" t="s">
        <v>148</v>
      </c>
    </row>
    <row r="29">
      <c r="A29" s="2" t="s">
        <v>241</v>
      </c>
      <c r="B29" s="3" t="s">
        <v>62</v>
      </c>
      <c r="C29" s="5" t="str">
        <f>IFERROR(__xludf.DUMMYFUNCTION("LET(acronym, REGEXREPLACE(A29, ""(\w)\w*\s*"", ""$1""), IF(LEN(acronym) = 1, LEFT(A29, 2), acronym) &amp; B29 &amp; ""-s"")"),"EónPás, VyACE1-s")</f>
        <v>EónPás, VyACE1-s</v>
      </c>
      <c r="D29" s="3" t="s">
        <v>242</v>
      </c>
      <c r="E29" s="3" t="s">
        <v>243</v>
      </c>
    </row>
    <row r="30">
      <c r="A30" s="2" t="s">
        <v>241</v>
      </c>
      <c r="B30" s="3" t="s">
        <v>64</v>
      </c>
      <c r="C30" s="5" t="str">
        <f>IFERROR(__xludf.DUMMYFUNCTION("LET(acronym, REGEXREPLACE(A30, ""(\w)\w*\s*"", ""$1""), IF(LEN(acronym) = 1, LEFT(A30, 2), acronym) &amp; B30 &amp; ""-s"")"),"EónPás, VyACE2-s")</f>
        <v>EónPás, VyACE2-s</v>
      </c>
      <c r="D30" s="3" t="s">
        <v>244</v>
      </c>
      <c r="E30" s="3" t="s">
        <v>175</v>
      </c>
    </row>
    <row r="31">
      <c r="A31" s="2" t="s">
        <v>241</v>
      </c>
      <c r="B31" s="3" t="s">
        <v>66</v>
      </c>
      <c r="C31" s="5" t="str">
        <f>IFERROR(__xludf.DUMMYFUNCTION("LET(acronym, REGEXREPLACE(A31, ""(\w)\w*\s*"", ""$1""), IF(LEN(acronym) = 1, LEFT(A31, 2), acronym) &amp; B31 &amp; ""-s"")"),"EónPás, VyACE3-s")</f>
        <v>EónPás, VyACE3-s</v>
      </c>
      <c r="D31" s="3" t="s">
        <v>245</v>
      </c>
      <c r="E31" s="3" t="s">
        <v>180</v>
      </c>
    </row>
    <row r="32">
      <c r="A32" s="2" t="s">
        <v>241</v>
      </c>
      <c r="B32" s="3" t="s">
        <v>112</v>
      </c>
      <c r="C32" s="5" t="str">
        <f>IFERROR(__xludf.DUMMYFUNCTION("LET(acronym, REGEXREPLACE(A32, ""(\w)\w*\s*"", ""$1""), IF(LEN(acronym) = 1, LEFT(A32, 2), acronym) &amp; B32 &amp; ""-s"")"),"EónPás, VyACE4-s")</f>
        <v>EónPás, VyACE4-s</v>
      </c>
      <c r="D32" s="3" t="s">
        <v>246</v>
      </c>
      <c r="E32" s="3" t="s">
        <v>156</v>
      </c>
    </row>
    <row r="33">
      <c r="A33" s="2" t="s">
        <v>247</v>
      </c>
      <c r="B33" s="3" t="s">
        <v>62</v>
      </c>
      <c r="C33" s="5" t="str">
        <f>IFERROR(__xludf.DUMMYFUNCTION("LET(acronym, REGEXREPLACE(A33, ""(\w)\w*\s*"", ""$1""), IF(LEN(acronym) = 1, LEFT(A33, 2), acronym) &amp; B33 &amp; ""-s"")"),"MúsCE1-s")</f>
        <v>MúsCE1-s</v>
      </c>
      <c r="D33" s="3" t="s">
        <v>248</v>
      </c>
      <c r="E33" s="3" t="s">
        <v>69</v>
      </c>
    </row>
    <row r="34">
      <c r="A34" s="2" t="s">
        <v>247</v>
      </c>
      <c r="B34" s="3" t="s">
        <v>64</v>
      </c>
      <c r="C34" s="5" t="str">
        <f>IFERROR(__xludf.DUMMYFUNCTION("LET(acronym, REGEXREPLACE(A34, ""(\w)\w*\s*"", ""$1""), IF(LEN(acronym) = 1, LEFT(A34, 2), acronym) &amp; B34 &amp; ""-s"")"),"MúsCE2-s")</f>
        <v>MúsCE2-s</v>
      </c>
      <c r="D34" s="3" t="s">
        <v>249</v>
      </c>
      <c r="E34" s="3" t="s">
        <v>173</v>
      </c>
    </row>
    <row r="35">
      <c r="A35" s="2" t="s">
        <v>247</v>
      </c>
      <c r="B35" s="3" t="s">
        <v>66</v>
      </c>
      <c r="C35" s="5" t="str">
        <f>IFERROR(__xludf.DUMMYFUNCTION("LET(acronym, REGEXREPLACE(A35, ""(\w)\w*\s*"", ""$1""), IF(LEN(acronym) = 1, LEFT(A35, 2), acronym) &amp; B35 &amp; ""-s"")"),"MúsCE3-s")</f>
        <v>MúsCE3-s</v>
      </c>
      <c r="D35" s="3" t="s">
        <v>250</v>
      </c>
      <c r="E35" s="3" t="s">
        <v>251</v>
      </c>
    </row>
    <row r="36">
      <c r="A36" s="2" t="s">
        <v>247</v>
      </c>
      <c r="B36" s="3" t="s">
        <v>112</v>
      </c>
      <c r="C36" s="5" t="str">
        <f>IFERROR(__xludf.DUMMYFUNCTION("LET(acronym, REGEXREPLACE(A36, ""(\w)\w*\s*"", ""$1""), IF(LEN(acronym) = 1, LEFT(A36, 2), acronym) &amp; B36 &amp; ""-s"")"),"MúsCE4-s")</f>
        <v>MúsCE4-s</v>
      </c>
      <c r="D36" s="3" t="s">
        <v>252</v>
      </c>
      <c r="E36" s="3" t="s">
        <v>253</v>
      </c>
    </row>
    <row r="37">
      <c r="A37" s="2" t="s">
        <v>181</v>
      </c>
      <c r="B37" s="3" t="s">
        <v>62</v>
      </c>
      <c r="C37" s="5" t="str">
        <f>IFERROR(__xludf.DUMMYFUNCTION("LET(acronym, REGEXREPLACE(A37, ""(\w)\w*\s*"", ""$1""), IF(LEN(acronym) = 1, LEFT(A37, 2), acronym) &amp; B37 &amp; ""-s"")"),"EónFísCE1-s")</f>
        <v>EónFísCE1-s</v>
      </c>
      <c r="D37" s="3" t="s">
        <v>254</v>
      </c>
      <c r="E37" s="3" t="s">
        <v>255</v>
      </c>
    </row>
    <row r="38">
      <c r="A38" s="2" t="s">
        <v>181</v>
      </c>
      <c r="B38" s="3" t="s">
        <v>64</v>
      </c>
      <c r="C38" s="5" t="str">
        <f>IFERROR(__xludf.DUMMYFUNCTION("LET(acronym, REGEXREPLACE(A38, ""(\w)\w*\s*"", ""$1""), IF(LEN(acronym) = 1, LEFT(A38, 2), acronym) &amp; B38 &amp; ""-s"")"),"EónFísCE2-s")</f>
        <v>EónFísCE2-s</v>
      </c>
      <c r="D38" s="3" t="s">
        <v>256</v>
      </c>
      <c r="E38" s="3" t="s">
        <v>144</v>
      </c>
    </row>
    <row r="39">
      <c r="A39" s="2" t="s">
        <v>181</v>
      </c>
      <c r="B39" s="3" t="s">
        <v>66</v>
      </c>
      <c r="C39" s="5" t="str">
        <f>IFERROR(__xludf.DUMMYFUNCTION("LET(acronym, REGEXREPLACE(A39, ""(\w)\w*\s*"", ""$1""), IF(LEN(acronym) = 1, LEFT(A39, 2), acronym) &amp; B39 &amp; ""-s"")"),"EónFísCE3-s")</f>
        <v>EónFísCE3-s</v>
      </c>
      <c r="D39" s="3" t="s">
        <v>257</v>
      </c>
      <c r="E39" s="3" t="s">
        <v>184</v>
      </c>
    </row>
    <row r="40">
      <c r="A40" s="2" t="s">
        <v>181</v>
      </c>
      <c r="B40" s="3" t="s">
        <v>112</v>
      </c>
      <c r="C40" s="5" t="str">
        <f>IFERROR(__xludf.DUMMYFUNCTION("LET(acronym, REGEXREPLACE(A40, ""(\w)\w*\s*"", ""$1""), IF(LEN(acronym) = 1, LEFT(A40, 2), acronym) &amp; B40 &amp; ""-s"")"),"EónFísCE4-s")</f>
        <v>EónFísCE4-s</v>
      </c>
      <c r="D40" s="3" t="s">
        <v>258</v>
      </c>
      <c r="E40" s="3" t="s">
        <v>189</v>
      </c>
    </row>
    <row r="41">
      <c r="A41" s="2" t="s">
        <v>190</v>
      </c>
      <c r="B41" s="3" t="s">
        <v>62</v>
      </c>
      <c r="C41" s="5" t="str">
        <f>IFERROR(__xludf.DUMMYFUNCTION("LET(acronym, REGEXREPLACE(A41, ""(\w)\w*\s*"", ""$1""), IF(LEN(acronym) = 1, LEFT(A41, 2), acronym) &amp; B41 &amp; ""-s"")"),"VCívyÉtCE1-s")</f>
        <v>VCívyÉtCE1-s</v>
      </c>
      <c r="D41" s="3" t="s">
        <v>259</v>
      </c>
      <c r="E41" s="3" t="s">
        <v>219</v>
      </c>
    </row>
    <row r="42">
      <c r="A42" s="2" t="s">
        <v>190</v>
      </c>
      <c r="B42" s="3" t="s">
        <v>64</v>
      </c>
      <c r="C42" s="5" t="str">
        <f>IFERROR(__xludf.DUMMYFUNCTION("LET(acronym, REGEXREPLACE(A42, ""(\w)\w*\s*"", ""$1""), IF(LEN(acronym) = 1, LEFT(A42, 2), acronym) &amp; B42 &amp; ""-s"")"),"VCívyÉtCE2-s")</f>
        <v>VCívyÉtCE2-s</v>
      </c>
      <c r="D42" s="3" t="s">
        <v>260</v>
      </c>
      <c r="E42" s="3" t="s">
        <v>184</v>
      </c>
    </row>
    <row r="43">
      <c r="A43" s="2" t="s">
        <v>190</v>
      </c>
      <c r="B43" s="3" t="s">
        <v>66</v>
      </c>
      <c r="C43" s="5" t="str">
        <f>IFERROR(__xludf.DUMMYFUNCTION("LET(acronym, REGEXREPLACE(A43, ""(\w)\w*\s*"", ""$1""), IF(LEN(acronym) = 1, LEFT(A43, 2), acronym) &amp; B43 &amp; ""-s"")"),"VCívyÉtCE3-s")</f>
        <v>VCívyÉtCE3-s</v>
      </c>
      <c r="D43" s="3" t="s">
        <v>261</v>
      </c>
      <c r="E43" s="3" t="s">
        <v>154</v>
      </c>
    </row>
    <row r="44">
      <c r="A44" s="2" t="s">
        <v>190</v>
      </c>
      <c r="B44" s="3" t="s">
        <v>112</v>
      </c>
      <c r="C44" s="5" t="str">
        <f>IFERROR(__xludf.DUMMYFUNCTION("LET(acronym, REGEXREPLACE(A44, ""(\w)\w*\s*"", ""$1""), IF(LEN(acronym) = 1, LEFT(A44, 2), acronym) &amp; B44 &amp; ""-s"")"),"VCívyÉtCE4-s")</f>
        <v>VCívyÉtCE4-s</v>
      </c>
      <c r="D44" s="3" t="s">
        <v>262</v>
      </c>
      <c r="E44" s="3" t="s">
        <v>263</v>
      </c>
    </row>
    <row r="45">
      <c r="A45" s="2" t="s">
        <v>264</v>
      </c>
      <c r="B45" s="3" t="s">
        <v>62</v>
      </c>
      <c r="C45" s="5" t="str">
        <f>IFERROR(__xludf.DUMMYFUNCTION("LET(acronym, REGEXREPLACE(A45, ""(\w)\w*\s*"", ""$1""), IF(LEN(acronym) = 1, LEFT(A45, 2), acronym) &amp; B45 &amp; ""-s"")"),"TíayDónCE1-s")</f>
        <v>TíayDónCE1-s</v>
      </c>
      <c r="D45" s="3" t="s">
        <v>265</v>
      </c>
      <c r="E45" s="3" t="s">
        <v>266</v>
      </c>
    </row>
    <row r="46">
      <c r="A46" s="2" t="s">
        <v>264</v>
      </c>
      <c r="B46" s="3" t="s">
        <v>64</v>
      </c>
      <c r="C46" s="5" t="str">
        <f>IFERROR(__xludf.DUMMYFUNCTION("LET(acronym, REGEXREPLACE(A46, ""(\w)\w*\s*"", ""$1""), IF(LEN(acronym) = 1, LEFT(A46, 2), acronym) &amp; B46 &amp; ""-s"")"),"TíayDónCE2-s")</f>
        <v>TíayDónCE2-s</v>
      </c>
      <c r="D46" s="3" t="s">
        <v>267</v>
      </c>
      <c r="E46" s="3" t="s">
        <v>268</v>
      </c>
    </row>
    <row r="47">
      <c r="A47" s="2" t="s">
        <v>264</v>
      </c>
      <c r="B47" s="3" t="s">
        <v>66</v>
      </c>
      <c r="C47" s="5" t="str">
        <f>IFERROR(__xludf.DUMMYFUNCTION("LET(acronym, REGEXREPLACE(A47, ""(\w)\w*\s*"", ""$1""), IF(LEN(acronym) = 1, LEFT(A47, 2), acronym) &amp; B47 &amp; ""-s"")"),"TíayDónCE3-s")</f>
        <v>TíayDónCE3-s</v>
      </c>
      <c r="D47" s="3" t="s">
        <v>269</v>
      </c>
      <c r="E47" s="3" t="s">
        <v>270</v>
      </c>
    </row>
    <row r="48">
      <c r="A48" s="2" t="s">
        <v>264</v>
      </c>
      <c r="B48" s="3" t="s">
        <v>112</v>
      </c>
      <c r="C48" s="5" t="str">
        <f>IFERROR(__xludf.DUMMYFUNCTION("LET(acronym, REGEXREPLACE(A48, ""(\w)\w*\s*"", ""$1""), IF(LEN(acronym) = 1, LEFT(A48, 2), acronym) &amp; B48 &amp; ""-s"")"),"TíayDónCE4-s")</f>
        <v>TíayDónCE4-s</v>
      </c>
      <c r="D48" s="3" t="s">
        <v>271</v>
      </c>
      <c r="E48" s="3" t="s">
        <v>272</v>
      </c>
    </row>
    <row r="49">
      <c r="A49" s="2" t="s">
        <v>264</v>
      </c>
      <c r="B49" s="3" t="s">
        <v>115</v>
      </c>
      <c r="C49" s="5" t="str">
        <f>IFERROR(__xludf.DUMMYFUNCTION("LET(acronym, REGEXREPLACE(A49, ""(\w)\w*\s*"", ""$1""), IF(LEN(acronym) = 1, LEFT(A49, 2), acronym) &amp; B49 &amp; ""-s"")"),"TíayDónCE5-s")</f>
        <v>TíayDónCE5-s</v>
      </c>
      <c r="D49" s="3" t="s">
        <v>273</v>
      </c>
      <c r="E49" s="3" t="s">
        <v>253</v>
      </c>
    </row>
    <row r="50">
      <c r="A50" s="2" t="s">
        <v>274</v>
      </c>
      <c r="B50" s="3" t="s">
        <v>62</v>
      </c>
      <c r="C50" s="5" t="str">
        <f>IFERROR(__xludf.DUMMYFUNCTION("LET(acronym, REGEXREPLACE(A50, ""(\w)\w*\s*"", ""$1""), IF(LEN(acronym) = 1, LEFT(A50, 2), acronym) &amp; B50 &amp; ""-s"")"),"EíayECE1-s")</f>
        <v>EíayECE1-s</v>
      </c>
      <c r="D50" s="3" t="s">
        <v>275</v>
      </c>
      <c r="E50" s="3" t="s">
        <v>276</v>
      </c>
    </row>
    <row r="51">
      <c r="A51" s="2" t="s">
        <v>274</v>
      </c>
      <c r="B51" s="3" t="s">
        <v>64</v>
      </c>
      <c r="C51" s="5" t="str">
        <f>IFERROR(__xludf.DUMMYFUNCTION("LET(acronym, REGEXREPLACE(A51, ""(\w)\w*\s*"", ""$1""), IF(LEN(acronym) = 1, LEFT(A51, 2), acronym) &amp; B51 &amp; ""-s"")"),"EíayECE2-s")</f>
        <v>EíayECE2-s</v>
      </c>
      <c r="D51" s="3" t="s">
        <v>277</v>
      </c>
      <c r="E51" s="3" t="s">
        <v>184</v>
      </c>
    </row>
    <row r="52">
      <c r="A52" s="2" t="s">
        <v>274</v>
      </c>
      <c r="B52" s="3" t="s">
        <v>66</v>
      </c>
      <c r="C52" s="5" t="str">
        <f>IFERROR(__xludf.DUMMYFUNCTION("LET(acronym, REGEXREPLACE(A52, ""(\w)\w*\s*"", ""$1""), IF(LEN(acronym) = 1, LEFT(A52, 2), acronym) &amp; B52 &amp; ""-s"")"),"EíayECE3-s")</f>
        <v>EíayECE3-s</v>
      </c>
      <c r="D52" s="3" t="s">
        <v>278</v>
      </c>
      <c r="E52" s="3" t="s">
        <v>279</v>
      </c>
    </row>
    <row r="53">
      <c r="A53" s="2" t="s">
        <v>274</v>
      </c>
      <c r="B53" s="3" t="s">
        <v>112</v>
      </c>
      <c r="C53" s="5" t="str">
        <f>IFERROR(__xludf.DUMMYFUNCTION("LET(acronym, REGEXREPLACE(A53, ""(\w)\w*\s*"", ""$1""), IF(LEN(acronym) = 1, LEFT(A53, 2), acronym) &amp; B53 &amp; ""-s"")"),"EíayECE4-s")</f>
        <v>EíayECE4-s</v>
      </c>
      <c r="D53" s="3" t="s">
        <v>280</v>
      </c>
      <c r="E53" s="3" t="s">
        <v>281</v>
      </c>
    </row>
    <row r="54">
      <c r="A54" s="2" t="s">
        <v>282</v>
      </c>
      <c r="B54" s="3" t="s">
        <v>62</v>
      </c>
      <c r="C54" s="5" t="str">
        <f>IFERROR(__xludf.DUMMYFUNCTION("LET(acronym, REGEXREPLACE(A54, ""(\w)\w*\s*"", ""$1""), IF(LEN(acronym) = 1, LEFT(A54, 2), acronym) &amp; B54 &amp; ""-s"")"),"CCásCE1-s")</f>
        <v>CCásCE1-s</v>
      </c>
      <c r="D54" s="3" t="s">
        <v>283</v>
      </c>
      <c r="E54" s="3" t="s">
        <v>156</v>
      </c>
    </row>
    <row r="55">
      <c r="A55" s="2" t="s">
        <v>282</v>
      </c>
      <c r="B55" s="3" t="s">
        <v>64</v>
      </c>
      <c r="C55" s="5" t="str">
        <f>IFERROR(__xludf.DUMMYFUNCTION("LET(acronym, REGEXREPLACE(A55, ""(\w)\w*\s*"", ""$1""), IF(LEN(acronym) = 1, LEFT(A55, 2), acronym) &amp; B55 &amp; ""-s"")"),"CCásCE2-s")</f>
        <v>CCásCE2-s</v>
      </c>
      <c r="D55" s="3" t="s">
        <v>284</v>
      </c>
      <c r="E55" s="3" t="s">
        <v>285</v>
      </c>
    </row>
    <row r="56">
      <c r="A56" s="2" t="s">
        <v>282</v>
      </c>
      <c r="B56" s="3" t="s">
        <v>66</v>
      </c>
      <c r="C56" s="5" t="str">
        <f>IFERROR(__xludf.DUMMYFUNCTION("LET(acronym, REGEXREPLACE(A56, ""(\w)\w*\s*"", ""$1""), IF(LEN(acronym) = 1, LEFT(A56, 2), acronym) &amp; B56 &amp; ""-s"")"),"CCásCE3-s")</f>
        <v>CCásCE3-s</v>
      </c>
      <c r="D56" s="3" t="s">
        <v>286</v>
      </c>
      <c r="E56" s="3" t="s">
        <v>69</v>
      </c>
    </row>
    <row r="57">
      <c r="A57" s="2" t="s">
        <v>282</v>
      </c>
      <c r="B57" s="3" t="s">
        <v>112</v>
      </c>
      <c r="C57" s="5" t="str">
        <f>IFERROR(__xludf.DUMMYFUNCTION("LET(acronym, REGEXREPLACE(A57, ""(\w)\w*\s*"", ""$1""), IF(LEN(acronym) = 1, LEFT(A57, 2), acronym) &amp; B57 &amp; ""-s"")"),"CCásCE4-s")</f>
        <v>CCásCE4-s</v>
      </c>
      <c r="D57" s="3" t="s">
        <v>287</v>
      </c>
      <c r="E57" s="3" t="s">
        <v>288</v>
      </c>
    </row>
    <row r="58">
      <c r="A58" s="2" t="s">
        <v>289</v>
      </c>
      <c r="B58" s="3" t="s">
        <v>62</v>
      </c>
      <c r="C58" s="5" t="str">
        <f>IFERROR(__xludf.DUMMYFUNCTION("LET(acronym, REGEXREPLACE(A58, ""(\w)\w*\s*"", ""$1""), IF(LEN(acronym) = 1, LEFT(A58, 2), acronym) &amp; B58 &amp; ""-s"")"),"LüísyS(ÁmLüísyS)CE1-s")</f>
        <v>LüísyS(ÁmLüísyS)CE1-s</v>
      </c>
      <c r="D58" s="3" t="s">
        <v>290</v>
      </c>
      <c r="E58" s="3" t="s">
        <v>291</v>
      </c>
    </row>
    <row r="59">
      <c r="A59" s="2" t="s">
        <v>292</v>
      </c>
      <c r="B59" s="3" t="s">
        <v>64</v>
      </c>
      <c r="C59" s="5" t="str">
        <f>IFERROR(__xludf.DUMMYFUNCTION("LET(acronym, REGEXREPLACE(A59, ""(\w)\w*\s*"", ""$1""), IF(LEN(acronym) = 1, LEFT(A59, 2), acronym) &amp; B59 &amp; ""-s"")"),"LüísySCE2-s")</f>
        <v>LüísySCE2-s</v>
      </c>
      <c r="D59" s="3" t="s">
        <v>293</v>
      </c>
      <c r="E59" s="3" t="s">
        <v>4</v>
      </c>
    </row>
    <row r="60">
      <c r="A60" s="2" t="s">
        <v>292</v>
      </c>
      <c r="B60" s="3" t="s">
        <v>66</v>
      </c>
      <c r="C60" s="5" t="str">
        <f>IFERROR(__xludf.DUMMYFUNCTION("LET(acronym, REGEXREPLACE(A60, ""(\w)\w*\s*"", ""$1""), IF(LEN(acronym) = 1, LEFT(A60, 2), acronym) &amp; B60 &amp; ""-s"")"),"LüísySCE3-s")</f>
        <v>LüísySCE3-s</v>
      </c>
      <c r="D60" s="3" t="s">
        <v>294</v>
      </c>
      <c r="E60" s="3" t="s">
        <v>295</v>
      </c>
    </row>
    <row r="61">
      <c r="A61" s="2" t="s">
        <v>292</v>
      </c>
      <c r="B61" s="3" t="s">
        <v>112</v>
      </c>
      <c r="C61" s="5" t="str">
        <f>IFERROR(__xludf.DUMMYFUNCTION("LET(acronym, REGEXREPLACE(A61, ""(\w)\w*\s*"", ""$1""), IF(LEN(acronym) = 1, LEFT(A61, 2), acronym) &amp; B61 &amp; ""-s"")"),"LüísySCE4-s")</f>
        <v>LüísySCE4-s</v>
      </c>
      <c r="D61" s="3" t="s">
        <v>296</v>
      </c>
      <c r="E61" s="3" t="s">
        <v>253</v>
      </c>
    </row>
    <row r="62">
      <c r="A62" s="2" t="s">
        <v>297</v>
      </c>
      <c r="B62" s="3" t="s">
        <v>62</v>
      </c>
      <c r="C62" s="5" t="str">
        <f>IFERROR(__xludf.DUMMYFUNCTION("LET(acronym, REGEXREPLACE(A62, ""(\w)\w*\s*"", ""$1""), IF(LEN(acronym) = 1, LEFT(A62, 2), acronym) &amp; B62 &amp; ""-s"")"),"Cíf-Tóg(ÁmCíf-Tóg)CE1-s")</f>
        <v>Cíf-Tóg(ÁmCíf-Tóg)CE1-s</v>
      </c>
      <c r="D62" s="3" t="s">
        <v>298</v>
      </c>
      <c r="E62" s="3" t="s">
        <v>24</v>
      </c>
    </row>
    <row r="63">
      <c r="A63" s="2" t="s">
        <v>299</v>
      </c>
      <c r="B63" s="3" t="s">
        <v>64</v>
      </c>
      <c r="C63" s="5" t="str">
        <f>IFERROR(__xludf.DUMMYFUNCTION("LET(acronym, REGEXREPLACE(A63, ""(\w)\w*\s*"", ""$1""), IF(LEN(acronym) = 1, LEFT(A63, 2), acronym) &amp; B63 &amp; ""-s"")"),"Cíf-TógCE2-s")</f>
        <v>Cíf-TógCE2-s</v>
      </c>
      <c r="D63" s="3" t="s">
        <v>300</v>
      </c>
      <c r="E63" s="3" t="s">
        <v>301</v>
      </c>
    </row>
    <row r="64">
      <c r="A64" s="2" t="s">
        <v>299</v>
      </c>
      <c r="B64" s="3" t="s">
        <v>66</v>
      </c>
      <c r="C64" s="5" t="str">
        <f>IFERROR(__xludf.DUMMYFUNCTION("LET(acronym, REGEXREPLACE(A64, ""(\w)\w*\s*"", ""$1""), IF(LEN(acronym) = 1, LEFT(A64, 2), acronym) &amp; B64 &amp; ""-s"")"),"Cíf-TógCE3-s")</f>
        <v>Cíf-TógCE3-s</v>
      </c>
      <c r="D64" s="3" t="s">
        <v>302</v>
      </c>
      <c r="E64" s="3" t="s">
        <v>139</v>
      </c>
    </row>
    <row r="65">
      <c r="A65" s="2" t="s">
        <v>299</v>
      </c>
      <c r="B65" s="3" t="s">
        <v>112</v>
      </c>
      <c r="C65" s="5" t="str">
        <f>IFERROR(__xludf.DUMMYFUNCTION("LET(acronym, REGEXREPLACE(A65, ""(\w)\w*\s*"", ""$1""), IF(LEN(acronym) = 1, LEFT(A65, 2), acronym) &amp; B65 &amp; ""-s"")"),"Cíf-TógCE4-s")</f>
        <v>Cíf-TógCE4-s</v>
      </c>
      <c r="D65" s="3" t="s">
        <v>303</v>
      </c>
      <c r="E65" s="3" t="s">
        <v>134</v>
      </c>
    </row>
    <row r="66">
      <c r="A66" s="2" t="s">
        <v>299</v>
      </c>
      <c r="B66" s="3" t="s">
        <v>115</v>
      </c>
      <c r="C66" s="5" t="str">
        <f>IFERROR(__xludf.DUMMYFUNCTION("LET(acronym, REGEXREPLACE(A66, ""(\w)\w*\s*"", ""$1""), IF(LEN(acronym) = 1, LEFT(A66, 2), acronym) &amp; B66 &amp; ""-s"")"),"Cíf-TógCE5-s")</f>
        <v>Cíf-TógCE5-s</v>
      </c>
      <c r="D66" s="3" t="s">
        <v>304</v>
      </c>
      <c r="E66" s="3" t="s">
        <v>146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min="2" max="2" width="30.88"/>
    <col customWidth="1" min="3" max="3" width="10.75"/>
    <col customWidth="1" min="4" max="4" width="101.38"/>
    <col customWidth="1" min="5" max="5" width="26.13"/>
  </cols>
  <sheetData>
    <row r="1">
      <c r="A1" s="1" t="s">
        <v>207</v>
      </c>
      <c r="B1" s="1" t="s">
        <v>102</v>
      </c>
      <c r="C1" s="1" t="s">
        <v>77</v>
      </c>
      <c r="D1" s="1" t="s">
        <v>103</v>
      </c>
      <c r="E1" s="1" t="s">
        <v>104</v>
      </c>
    </row>
    <row r="2">
      <c r="A2" s="2" t="s">
        <v>305</v>
      </c>
      <c r="B2" s="3" t="s">
        <v>62</v>
      </c>
      <c r="C2" s="5" t="str">
        <f>IFERROR(__xludf.DUMMYFUNCTION("LET(acronym, REGEXREPLACE(A2, ""(\w)\w*\s*"", ""$1""), IF(LEN(acronym) = 1, LEFT(A2, 2), acronym) &amp; B2 &amp; ""-b"")"),"LCyLICE1-b")</f>
        <v>LCyLICE1-b</v>
      </c>
      <c r="D2" s="3" t="s">
        <v>306</v>
      </c>
      <c r="E2" s="3" t="s">
        <v>111</v>
      </c>
    </row>
    <row r="3">
      <c r="A3" s="2" t="s">
        <v>305</v>
      </c>
      <c r="B3" s="3" t="s">
        <v>64</v>
      </c>
      <c r="C3" s="5" t="str">
        <f>IFERROR(__xludf.DUMMYFUNCTION("LET(acronym, REGEXREPLACE(A3, ""(\w)\w*\s*"", ""$1""), IF(LEN(acronym) = 1, LEFT(A3, 2), acronym) &amp; B3 &amp; ""-b"")"),"LCyLICE2-b")</f>
        <v>LCyLICE2-b</v>
      </c>
      <c r="D3" s="3" t="s">
        <v>307</v>
      </c>
      <c r="E3" s="3" t="s">
        <v>114</v>
      </c>
    </row>
    <row r="4">
      <c r="A4" s="2" t="s">
        <v>305</v>
      </c>
      <c r="B4" s="3" t="s">
        <v>66</v>
      </c>
      <c r="C4" s="5" t="str">
        <f>IFERROR(__xludf.DUMMYFUNCTION("LET(acronym, REGEXREPLACE(A4, ""(\w)\w*\s*"", ""$1""), IF(LEN(acronym) = 1, LEFT(A4, 2), acronym) &amp; B4 &amp; ""-b"")"),"LCyLICE3-b")</f>
        <v>LCyLICE3-b</v>
      </c>
      <c r="D4" s="3" t="s">
        <v>308</v>
      </c>
      <c r="E4" s="3" t="s">
        <v>309</v>
      </c>
    </row>
    <row r="5">
      <c r="A5" s="2" t="s">
        <v>305</v>
      </c>
      <c r="B5" s="3" t="s">
        <v>112</v>
      </c>
      <c r="C5" s="5" t="str">
        <f>IFERROR(__xludf.DUMMYFUNCTION("LET(acronym, REGEXREPLACE(A5, ""(\w)\w*\s*"", ""$1""), IF(LEN(acronym) = 1, LEFT(A5, 2), acronym) &amp; B5 &amp; ""-b"")"),"LCyLICE4-b")</f>
        <v>LCyLICE4-b</v>
      </c>
      <c r="D5" s="3" t="s">
        <v>310</v>
      </c>
      <c r="E5" s="3" t="s">
        <v>8</v>
      </c>
    </row>
    <row r="6">
      <c r="A6" s="2" t="s">
        <v>305</v>
      </c>
      <c r="B6" s="3" t="s">
        <v>115</v>
      </c>
      <c r="C6" s="5" t="str">
        <f>IFERROR(__xludf.DUMMYFUNCTION("LET(acronym, REGEXREPLACE(A6, ""(\w)\w*\s*"", ""$1""), IF(LEN(acronym) = 1, LEFT(A6, 2), acronym) &amp; B6 &amp; ""-b"")"),"LCyLICE5-b")</f>
        <v>LCyLICE5-b</v>
      </c>
      <c r="D6" s="3" t="s">
        <v>311</v>
      </c>
      <c r="E6" s="3" t="s">
        <v>122</v>
      </c>
    </row>
    <row r="7">
      <c r="A7" s="2" t="s">
        <v>312</v>
      </c>
      <c r="B7" s="3" t="s">
        <v>62</v>
      </c>
      <c r="C7" s="5" t="str">
        <f>IFERROR(__xludf.DUMMYFUNCTION("LET(acronym, REGEXREPLACE(A7, ""(\w)\w*\s*"", ""$1""), IF(LEN(acronym) = 1, LEFT(A7, 2), acronym) &amp; B7 &amp; ""-b"")"),"LCyLICE1-b")</f>
        <v>LCyLICE1-b</v>
      </c>
      <c r="D7" s="3" t="s">
        <v>313</v>
      </c>
      <c r="E7" s="3" t="s">
        <v>111</v>
      </c>
    </row>
    <row r="8">
      <c r="A8" s="2" t="s">
        <v>312</v>
      </c>
      <c r="B8" s="3" t="s">
        <v>64</v>
      </c>
      <c r="C8" s="5" t="str">
        <f>IFERROR(__xludf.DUMMYFUNCTION("LET(acronym, REGEXREPLACE(A8, ""(\w)\w*\s*"", ""$1""), IF(LEN(acronym) = 1, LEFT(A8, 2), acronym) &amp; B8 &amp; ""-b"")"),"LCyLICE2-b")</f>
        <v>LCyLICE2-b</v>
      </c>
      <c r="D8" s="3" t="s">
        <v>314</v>
      </c>
      <c r="E8" s="3" t="s">
        <v>114</v>
      </c>
    </row>
    <row r="9">
      <c r="A9" s="2" t="s">
        <v>312</v>
      </c>
      <c r="B9" s="3" t="s">
        <v>66</v>
      </c>
      <c r="C9" s="5" t="str">
        <f>IFERROR(__xludf.DUMMYFUNCTION("LET(acronym, REGEXREPLACE(A9, ""(\w)\w*\s*"", ""$1""), IF(LEN(acronym) = 1, LEFT(A9, 2), acronym) &amp; B9 &amp; ""-b"")"),"LCyLICE3-b")</f>
        <v>LCyLICE3-b</v>
      </c>
      <c r="D9" s="3" t="s">
        <v>315</v>
      </c>
      <c r="E9" s="3" t="s">
        <v>309</v>
      </c>
    </row>
    <row r="10">
      <c r="A10" s="2" t="s">
        <v>312</v>
      </c>
      <c r="B10" s="3" t="s">
        <v>112</v>
      </c>
      <c r="C10" s="5" t="str">
        <f>IFERROR(__xludf.DUMMYFUNCTION("LET(acronym, REGEXREPLACE(A10, ""(\w)\w*\s*"", ""$1""), IF(LEN(acronym) = 1, LEFT(A10, 2), acronym) &amp; B10 &amp; ""-b"")"),"LCyLICE4-b")</f>
        <v>LCyLICE4-b</v>
      </c>
      <c r="D10" s="3" t="s">
        <v>316</v>
      </c>
      <c r="E10" s="3" t="s">
        <v>122</v>
      </c>
    </row>
    <row r="11">
      <c r="A11" s="2" t="s">
        <v>312</v>
      </c>
      <c r="B11" s="3" t="s">
        <v>115</v>
      </c>
      <c r="C11" s="5" t="str">
        <f>IFERROR(__xludf.DUMMYFUNCTION("LET(acronym, REGEXREPLACE(A11, ""(\w)\w*\s*"", ""$1""), IF(LEN(acronym) = 1, LEFT(A11, 2), acronym) &amp; B11 &amp; ""-b"")"),"LCyLICE5-b")</f>
        <v>LCyLICE5-b</v>
      </c>
      <c r="D11" s="3" t="s">
        <v>317</v>
      </c>
      <c r="E11" s="3" t="s">
        <v>318</v>
      </c>
    </row>
    <row r="12">
      <c r="A12" s="2" t="s">
        <v>319</v>
      </c>
      <c r="B12" s="3" t="s">
        <v>62</v>
      </c>
      <c r="C12" s="5" t="str">
        <f>IFERROR(__xludf.DUMMYFUNCTION("LET(acronym, REGEXREPLACE(A12, ""(\w)\w*\s*"", ""$1""), IF(LEN(acronym) = 1, LEFT(A12, 2), acronym) &amp; B12 &amp; ""-b"")"),"FíaCE1-b")</f>
        <v>FíaCE1-b</v>
      </c>
      <c r="D12" s="3" t="s">
        <v>320</v>
      </c>
      <c r="E12" s="3" t="s">
        <v>321</v>
      </c>
    </row>
    <row r="13">
      <c r="A13" s="2" t="s">
        <v>319</v>
      </c>
      <c r="B13" s="3" t="s">
        <v>64</v>
      </c>
      <c r="C13" s="5" t="str">
        <f>IFERROR(__xludf.DUMMYFUNCTION("LET(acronym, REGEXREPLACE(A13, ""(\w)\w*\s*"", ""$1""), IF(LEN(acronym) = 1, LEFT(A13, 2), acronym) &amp; B13 &amp; ""-b"")"),"FíaCE2-b")</f>
        <v>FíaCE2-b</v>
      </c>
      <c r="D13" s="3" t="s">
        <v>322</v>
      </c>
      <c r="E13" s="3" t="s">
        <v>323</v>
      </c>
    </row>
    <row r="14">
      <c r="A14" s="2" t="s">
        <v>319</v>
      </c>
      <c r="B14" s="3" t="s">
        <v>66</v>
      </c>
      <c r="C14" s="5" t="str">
        <f>IFERROR(__xludf.DUMMYFUNCTION("LET(acronym, REGEXREPLACE(A14, ""(\w)\w*\s*"", ""$1""), IF(LEN(acronym) = 1, LEFT(A14, 2), acronym) &amp; B14 &amp; ""-b"")"),"FíaCE3-b")</f>
        <v>FíaCE3-b</v>
      </c>
      <c r="D14" s="3" t="s">
        <v>324</v>
      </c>
      <c r="E14" s="3" t="s">
        <v>111</v>
      </c>
    </row>
    <row r="15">
      <c r="A15" s="2" t="s">
        <v>319</v>
      </c>
      <c r="B15" s="3" t="s">
        <v>112</v>
      </c>
      <c r="C15" s="5" t="str">
        <f>IFERROR(__xludf.DUMMYFUNCTION("LET(acronym, REGEXREPLACE(A15, ""(\w)\w*\s*"", ""$1""), IF(LEN(acronym) = 1, LEFT(A15, 2), acronym) &amp; B15 &amp; ""-b"")"),"FíaCE4-b")</f>
        <v>FíaCE4-b</v>
      </c>
      <c r="D15" s="3" t="s">
        <v>325</v>
      </c>
      <c r="E15" s="3" t="s">
        <v>154</v>
      </c>
    </row>
    <row r="16">
      <c r="A16" s="2" t="s">
        <v>326</v>
      </c>
      <c r="B16" s="3" t="s">
        <v>62</v>
      </c>
      <c r="C16" s="5" t="str">
        <f>IFERROR(__xludf.DUMMYFUNCTION("LET(acronym, REGEXREPLACE(A16, ""(\w)\w*\s*"", ""$1""), IF(LEN(acronym) = 1, LEFT(A16, 2), acronym) &amp; B16 &amp; ""-b"")"),"HdlFíaCE1-b")</f>
        <v>HdlFíaCE1-b</v>
      </c>
      <c r="D16" s="3" t="s">
        <v>327</v>
      </c>
      <c r="E16" s="3" t="s">
        <v>243</v>
      </c>
    </row>
    <row r="17">
      <c r="A17" s="2" t="s">
        <v>326</v>
      </c>
      <c r="B17" s="3" t="s">
        <v>64</v>
      </c>
      <c r="C17" s="5" t="str">
        <f>IFERROR(__xludf.DUMMYFUNCTION("LET(acronym, REGEXREPLACE(A17, ""(\w)\w*\s*"", ""$1""), IF(LEN(acronym) = 1, LEFT(A17, 2), acronym) &amp; B17 &amp; ""-b"")"),"HdlFíaCE2-b")</f>
        <v>HdlFíaCE2-b</v>
      </c>
      <c r="D17" s="3" t="s">
        <v>328</v>
      </c>
      <c r="E17" s="3" t="s">
        <v>111</v>
      </c>
    </row>
    <row r="18">
      <c r="A18" s="2" t="s">
        <v>326</v>
      </c>
      <c r="B18" s="3" t="s">
        <v>66</v>
      </c>
      <c r="C18" s="5" t="str">
        <f>IFERROR(__xludf.DUMMYFUNCTION("LET(acronym, REGEXREPLACE(A18, ""(\w)\w*\s*"", ""$1""), IF(LEN(acronym) = 1, LEFT(A18, 2), acronym) &amp; B18 &amp; ""-b"")"),"HdlFíaCE3-b")</f>
        <v>HdlFíaCE3-b</v>
      </c>
      <c r="D18" s="3" t="s">
        <v>329</v>
      </c>
      <c r="E18" s="3" t="s">
        <v>184</v>
      </c>
    </row>
    <row r="19">
      <c r="A19" s="2" t="s">
        <v>326</v>
      </c>
      <c r="B19" s="3" t="s">
        <v>112</v>
      </c>
      <c r="C19" s="5" t="str">
        <f>IFERROR(__xludf.DUMMYFUNCTION("LET(acronym, REGEXREPLACE(A19, ""(\w)\w*\s*"", ""$1""), IF(LEN(acronym) = 1, LEFT(A19, 2), acronym) &amp; B19 &amp; ""-b"")"),"HdlFíaCE4-b")</f>
        <v>HdlFíaCE4-b</v>
      </c>
      <c r="D19" s="3" t="s">
        <v>330</v>
      </c>
      <c r="E19" s="3" t="s">
        <v>323</v>
      </c>
    </row>
    <row r="20">
      <c r="A20" s="2" t="s">
        <v>331</v>
      </c>
      <c r="B20" s="3" t="s">
        <v>62</v>
      </c>
      <c r="C20" s="5" t="str">
        <f>IFERROR(__xludf.DUMMYFUNCTION("LET(acronym, REGEXREPLACE(A20, ""(\w)\w*\s*"", ""$1""), IF(LEN(acronym) = 1, LEFT(A20, 2), acronym) &amp; B20 &amp; ""-b"")"),"HdEñaCE1-b")</f>
        <v>HdEñaCE1-b</v>
      </c>
      <c r="D20" s="3" t="s">
        <v>332</v>
      </c>
      <c r="E20" s="3" t="s">
        <v>219</v>
      </c>
    </row>
    <row r="21">
      <c r="A21" s="2" t="s">
        <v>331</v>
      </c>
      <c r="B21" s="3" t="s">
        <v>64</v>
      </c>
      <c r="C21" s="5" t="str">
        <f>IFERROR(__xludf.DUMMYFUNCTION("LET(acronym, REGEXREPLACE(A21, ""(\w)\w*\s*"", ""$1""), IF(LEN(acronym) = 1, LEFT(A21, 2), acronym) &amp; B21 &amp; ""-b"")"),"HdEñaCE2-b")</f>
        <v>HdEñaCE2-b</v>
      </c>
      <c r="D21" s="3" t="s">
        <v>333</v>
      </c>
      <c r="E21" s="3" t="s">
        <v>222</v>
      </c>
    </row>
    <row r="22">
      <c r="A22" s="2" t="s">
        <v>331</v>
      </c>
      <c r="B22" s="3" t="s">
        <v>66</v>
      </c>
      <c r="C22" s="5" t="str">
        <f>IFERROR(__xludf.DUMMYFUNCTION("LET(acronym, REGEXREPLACE(A22, ""(\w)\w*\s*"", ""$1""), IF(LEN(acronym) = 1, LEFT(A22, 2), acronym) &amp; B22 &amp; ""-b"")"),"HdEñaCE3-b")</f>
        <v>HdEñaCE3-b</v>
      </c>
      <c r="D22" s="3" t="s">
        <v>334</v>
      </c>
      <c r="E22" s="3" t="s">
        <v>219</v>
      </c>
    </row>
    <row r="23">
      <c r="A23" s="2" t="s">
        <v>331</v>
      </c>
      <c r="B23" s="3" t="s">
        <v>112</v>
      </c>
      <c r="C23" s="5" t="str">
        <f>IFERROR(__xludf.DUMMYFUNCTION("LET(acronym, REGEXREPLACE(A23, ""(\w)\w*\s*"", ""$1""), IF(LEN(acronym) = 1, LEFT(A23, 2), acronym) &amp; B23 &amp; ""-b"")"),"HdEñaCE4-b")</f>
        <v>HdEñaCE4-b</v>
      </c>
      <c r="D23" s="3" t="s">
        <v>335</v>
      </c>
      <c r="E23" s="3" t="s">
        <v>336</v>
      </c>
    </row>
    <row r="24">
      <c r="A24" s="2" t="s">
        <v>337</v>
      </c>
      <c r="B24" s="3" t="s">
        <v>62</v>
      </c>
      <c r="C24" s="5" t="str">
        <f>IFERROR(__xludf.DUMMYFUNCTION("LET(acronym, REGEXREPLACE(A24, ""(\w)\w*\s*"", ""$1""), IF(LEN(acronym) = 1, LEFT(A24, 2), acronym) &amp; B24 &amp; ""-b"")"),"PLEICE1-b")</f>
        <v>PLEICE1-b</v>
      </c>
      <c r="D24" s="3" t="s">
        <v>338</v>
      </c>
      <c r="E24" s="3" t="s">
        <v>162</v>
      </c>
    </row>
    <row r="25">
      <c r="A25" s="2" t="s">
        <v>337</v>
      </c>
      <c r="B25" s="3" t="s">
        <v>64</v>
      </c>
      <c r="C25" s="5" t="str">
        <f>IFERROR(__xludf.DUMMYFUNCTION("LET(acronym, REGEXREPLACE(A25, ""(\w)\w*\s*"", ""$1""), IF(LEN(acronym) = 1, LEFT(A25, 2), acronym) &amp; B25 &amp; ""-b"")"),"PLEICE2-b")</f>
        <v>PLEICE2-b</v>
      </c>
      <c r="D25" s="3" t="s">
        <v>339</v>
      </c>
      <c r="E25" s="3" t="s">
        <v>164</v>
      </c>
    </row>
    <row r="26">
      <c r="A26" s="2" t="s">
        <v>337</v>
      </c>
      <c r="B26" s="3" t="s">
        <v>66</v>
      </c>
      <c r="C26" s="5" t="str">
        <f>IFERROR(__xludf.DUMMYFUNCTION("LET(acronym, REGEXREPLACE(A26, ""(\w)\w*\s*"", ""$1""), IF(LEN(acronym) = 1, LEFT(A26, 2), acronym) &amp; B26 &amp; ""-b"")"),"PLEICE3-b")</f>
        <v>PLEICE3-b</v>
      </c>
      <c r="D26" s="3" t="s">
        <v>340</v>
      </c>
      <c r="E26" s="3" t="s">
        <v>17</v>
      </c>
    </row>
    <row r="27">
      <c r="A27" s="2" t="s">
        <v>337</v>
      </c>
      <c r="B27" s="3" t="s">
        <v>112</v>
      </c>
      <c r="C27" s="5" t="str">
        <f>IFERROR(__xludf.DUMMYFUNCTION("LET(acronym, REGEXREPLACE(A27, ""(\w)\w*\s*"", ""$1""), IF(LEN(acronym) = 1, LEFT(A27, 2), acronym) &amp; B27 &amp; ""-b"")"),"PLEICE4-b")</f>
        <v>PLEICE4-b</v>
      </c>
      <c r="D27" s="3" t="s">
        <v>341</v>
      </c>
      <c r="E27" s="3" t="s">
        <v>168</v>
      </c>
    </row>
    <row r="28">
      <c r="A28" s="2" t="s">
        <v>342</v>
      </c>
      <c r="B28" s="3" t="s">
        <v>62</v>
      </c>
      <c r="C28" s="5" t="str">
        <f>IFERROR(__xludf.DUMMYFUNCTION("LET(acronym, REGEXREPLACE(A28, ""(\w)\w*\s*"", ""$1""), IF(LEN(acronym) = 1, LEFT(A28, 2), acronym) &amp; B28 &amp; ""-b"")"),"PLEICE1-b")</f>
        <v>PLEICE1-b</v>
      </c>
      <c r="D28" s="3" t="s">
        <v>343</v>
      </c>
      <c r="E28" s="3" t="s">
        <v>162</v>
      </c>
    </row>
    <row r="29">
      <c r="A29" s="2" t="s">
        <v>342</v>
      </c>
      <c r="B29" s="3" t="s">
        <v>64</v>
      </c>
      <c r="C29" s="5" t="str">
        <f>IFERROR(__xludf.DUMMYFUNCTION("LET(acronym, REGEXREPLACE(A29, ""(\w)\w*\s*"", ""$1""), IF(LEN(acronym) = 1, LEFT(A29, 2), acronym) &amp; B29 &amp; ""-b"")"),"PLEICE2-b")</f>
        <v>PLEICE2-b</v>
      </c>
      <c r="D29" s="3" t="s">
        <v>344</v>
      </c>
      <c r="E29" s="3" t="s">
        <v>164</v>
      </c>
    </row>
    <row r="30">
      <c r="A30" s="2" t="s">
        <v>342</v>
      </c>
      <c r="B30" s="3" t="s">
        <v>66</v>
      </c>
      <c r="C30" s="5" t="str">
        <f>IFERROR(__xludf.DUMMYFUNCTION("LET(acronym, REGEXREPLACE(A30, ""(\w)\w*\s*"", ""$1""), IF(LEN(acronym) = 1, LEFT(A30, 2), acronym) &amp; B30 &amp; ""-b"")"),"PLEICE3-b")</f>
        <v>PLEICE3-b</v>
      </c>
      <c r="D30" s="3" t="s">
        <v>345</v>
      </c>
      <c r="E30" s="3" t="s">
        <v>164</v>
      </c>
    </row>
    <row r="31">
      <c r="A31" s="2" t="s">
        <v>342</v>
      </c>
      <c r="B31" s="3" t="s">
        <v>112</v>
      </c>
      <c r="C31" s="5" t="str">
        <f>IFERROR(__xludf.DUMMYFUNCTION("LET(acronym, REGEXREPLACE(A31, ""(\w)\w*\s*"", ""$1""), IF(LEN(acronym) = 1, LEFT(A31, 2), acronym) &amp; B31 &amp; ""-b"")"),"PLEICE4-b")</f>
        <v>PLEICE4-b</v>
      </c>
      <c r="D31" s="3" t="s">
        <v>346</v>
      </c>
      <c r="E31" s="3" t="s">
        <v>170</v>
      </c>
    </row>
    <row r="32">
      <c r="A32" s="2" t="s">
        <v>347</v>
      </c>
      <c r="B32" s="3" t="s">
        <v>62</v>
      </c>
      <c r="C32" s="5" t="str">
        <f>IFERROR(__xludf.DUMMYFUNCTION("LET(acronym, REGEXREPLACE(A32, ""(\w)\w*\s*"", ""$1""), IF(LEN(acronym) = 1, LEFT(A32, 2), acronym) &amp; B32 &amp; ""-b"")"),"MátICE1-b")</f>
        <v>MátICE1-b</v>
      </c>
      <c r="D32" s="3" t="s">
        <v>348</v>
      </c>
      <c r="E32" s="3" t="s">
        <v>22</v>
      </c>
    </row>
    <row r="33">
      <c r="A33" s="2" t="s">
        <v>347</v>
      </c>
      <c r="B33" s="3" t="s">
        <v>64</v>
      </c>
      <c r="C33" s="5" t="str">
        <f>IFERROR(__xludf.DUMMYFUNCTION("LET(acronym, REGEXREPLACE(A33, ""(\w)\w*\s*"", ""$1""), IF(LEN(acronym) = 1, LEFT(A33, 2), acronym) &amp; B33 &amp; ""-b"")"),"MátICE2-b")</f>
        <v>MátICE2-b</v>
      </c>
      <c r="D33" s="3" t="s">
        <v>349</v>
      </c>
      <c r="E33" s="3" t="s">
        <v>28</v>
      </c>
    </row>
    <row r="34">
      <c r="A34" s="2" t="s">
        <v>347</v>
      </c>
      <c r="B34" s="3" t="s">
        <v>66</v>
      </c>
      <c r="C34" s="5" t="str">
        <f>IFERROR(__xludf.DUMMYFUNCTION("LET(acronym, REGEXREPLACE(A34, ""(\w)\w*\s*"", ""$1""), IF(LEN(acronym) = 1, LEFT(A34, 2), acronym) &amp; B34 &amp; ""-b"")"),"MátICE3-b")</f>
        <v>MátICE3-b</v>
      </c>
      <c r="D34" s="3" t="s">
        <v>350</v>
      </c>
      <c r="E34" s="3" t="s">
        <v>22</v>
      </c>
    </row>
    <row r="35">
      <c r="A35" s="2" t="s">
        <v>347</v>
      </c>
      <c r="B35" s="3" t="s">
        <v>112</v>
      </c>
      <c r="C35" s="5" t="str">
        <f>IFERROR(__xludf.DUMMYFUNCTION("LET(acronym, REGEXREPLACE(A35, ""(\w)\w*\s*"", ""$1""), IF(LEN(acronym) = 1, LEFT(A35, 2), acronym) &amp; B35 &amp; ""-b"")"),"MátICE4-b")</f>
        <v>MátICE4-b</v>
      </c>
      <c r="D35" s="3" t="s">
        <v>351</v>
      </c>
      <c r="E35" s="3" t="s">
        <v>134</v>
      </c>
    </row>
    <row r="36">
      <c r="A36" s="2" t="s">
        <v>352</v>
      </c>
      <c r="B36" s="3" t="s">
        <v>62</v>
      </c>
      <c r="C36" s="5" t="str">
        <f>IFERROR(__xludf.DUMMYFUNCTION("LET(acronym, REGEXREPLACE(A36, ""(\w)\w*\s*"", ""$1""), IF(LEN(acronym) = 1, LEFT(A36, 2), acronym) &amp; B36 &amp; ""-b"")"),"MátICE1-b")</f>
        <v>MátICE1-b</v>
      </c>
      <c r="D36" s="3" t="s">
        <v>353</v>
      </c>
      <c r="E36" s="3" t="s">
        <v>22</v>
      </c>
    </row>
    <row r="37">
      <c r="A37" s="2" t="s">
        <v>352</v>
      </c>
      <c r="B37" s="3" t="s">
        <v>64</v>
      </c>
      <c r="C37" s="5" t="str">
        <f>IFERROR(__xludf.DUMMYFUNCTION("LET(acronym, REGEXREPLACE(A37, ""(\w)\w*\s*"", ""$1""), IF(LEN(acronym) = 1, LEFT(A37, 2), acronym) &amp; B37 &amp; ""-b"")"),"MátICE2-b")</f>
        <v>MátICE2-b</v>
      </c>
      <c r="D37" s="3" t="s">
        <v>354</v>
      </c>
      <c r="E37" s="3" t="s">
        <v>22</v>
      </c>
    </row>
    <row r="38">
      <c r="A38" s="2" t="s">
        <v>352</v>
      </c>
      <c r="B38" s="3" t="s">
        <v>66</v>
      </c>
      <c r="C38" s="5" t="str">
        <f>IFERROR(__xludf.DUMMYFUNCTION("LET(acronym, REGEXREPLACE(A38, ""(\w)\w*\s*"", ""$1""), IF(LEN(acronym) = 1, LEFT(A38, 2), acronym) &amp; B38 &amp; ""-b"")"),"MátICE3-b")</f>
        <v>MátICE3-b</v>
      </c>
      <c r="D38" s="3" t="s">
        <v>355</v>
      </c>
      <c r="E38" s="3" t="s">
        <v>28</v>
      </c>
    </row>
    <row r="39">
      <c r="A39" s="2" t="s">
        <v>352</v>
      </c>
      <c r="B39" s="3" t="s">
        <v>112</v>
      </c>
      <c r="C39" s="5" t="str">
        <f>IFERROR(__xludf.DUMMYFUNCTION("LET(acronym, REGEXREPLACE(A39, ""(\w)\w*\s*"", ""$1""), IF(LEN(acronym) = 1, LEFT(A39, 2), acronym) &amp; B39 &amp; ""-b"")"),"MátICE4-b")</f>
        <v>MátICE4-b</v>
      </c>
      <c r="D39" s="3" t="s">
        <v>356</v>
      </c>
      <c r="E39" s="3" t="s">
        <v>134</v>
      </c>
    </row>
    <row r="40">
      <c r="A40" s="2" t="s">
        <v>357</v>
      </c>
      <c r="B40" s="3" t="s">
        <v>62</v>
      </c>
      <c r="C40" s="5" t="str">
        <f>IFERROR(__xludf.DUMMYFUNCTION("LET(acronym, REGEXREPLACE(A40, ""(\w)\w*\s*"", ""$1""), IF(LEN(acronym) = 1, LEFT(A40, 2), acronym) &amp; B40 &amp; ""-b"")"),"MátAalCICE1-b")</f>
        <v>MátAalCICE1-b</v>
      </c>
      <c r="D40" s="3" t="s">
        <v>358</v>
      </c>
      <c r="E40" s="3" t="s">
        <v>359</v>
      </c>
    </row>
    <row r="41">
      <c r="A41" s="2" t="s">
        <v>357</v>
      </c>
      <c r="B41" s="3" t="s">
        <v>64</v>
      </c>
      <c r="C41" s="5" t="str">
        <f>IFERROR(__xludf.DUMMYFUNCTION("LET(acronym, REGEXREPLACE(A41, ""(\w)\w*\s*"", ""$1""), IF(LEN(acronym) = 1, LEFT(A41, 2), acronym) &amp; B41 &amp; ""-b"")"),"MátAalCICE2-b")</f>
        <v>MátAalCICE2-b</v>
      </c>
      <c r="D41" s="3" t="s">
        <v>360</v>
      </c>
      <c r="E41" s="3" t="s">
        <v>28</v>
      </c>
    </row>
    <row r="42">
      <c r="A42" s="2" t="s">
        <v>357</v>
      </c>
      <c r="B42" s="3" t="s">
        <v>66</v>
      </c>
      <c r="C42" s="5" t="str">
        <f>IFERROR(__xludf.DUMMYFUNCTION("LET(acronym, REGEXREPLACE(A42, ""(\w)\w*\s*"", ""$1""), IF(LEN(acronym) = 1, LEFT(A42, 2), acronym) &amp; B42 &amp; ""-b"")"),"MátAalCICE3-b")</f>
        <v>MátAalCICE3-b</v>
      </c>
      <c r="D42" s="3" t="s">
        <v>361</v>
      </c>
      <c r="E42" s="3" t="s">
        <v>35</v>
      </c>
    </row>
    <row r="43">
      <c r="A43" s="2" t="s">
        <v>357</v>
      </c>
      <c r="B43" s="3" t="s">
        <v>112</v>
      </c>
      <c r="C43" s="5" t="str">
        <f>IFERROR(__xludf.DUMMYFUNCTION("LET(acronym, REGEXREPLACE(A43, ""(\w)\w*\s*"", ""$1""), IF(LEN(acronym) = 1, LEFT(A43, 2), acronym) &amp; B43 &amp; ""-b"")"),"MátAalCICE4-b")</f>
        <v>MátAalCICE4-b</v>
      </c>
      <c r="D43" s="3" t="s">
        <v>362</v>
      </c>
      <c r="E43" s="3" t="s">
        <v>22</v>
      </c>
    </row>
    <row r="44">
      <c r="A44" s="2" t="s">
        <v>363</v>
      </c>
      <c r="B44" s="3" t="s">
        <v>62</v>
      </c>
      <c r="C44" s="5" t="str">
        <f>IFERROR(__xludf.DUMMYFUNCTION("LET(acronym, REGEXREPLACE(A44, ""(\w)\w*\s*"", ""$1""), IF(LEN(acronym) = 1, LEFT(A44, 2), acronym) &amp; B44 &amp; ""-b"")"),"MátAalCICE1-b")</f>
        <v>MátAalCICE1-b</v>
      </c>
      <c r="D44" s="3" t="s">
        <v>364</v>
      </c>
      <c r="E44" s="3" t="s">
        <v>28</v>
      </c>
    </row>
    <row r="45">
      <c r="A45" s="2" t="s">
        <v>363</v>
      </c>
      <c r="B45" s="3" t="s">
        <v>64</v>
      </c>
      <c r="C45" s="5" t="str">
        <f>IFERROR(__xludf.DUMMYFUNCTION("LET(acronym, REGEXREPLACE(A45, ""(\w)\w*\s*"", ""$1""), IF(LEN(acronym) = 1, LEFT(A45, 2), acronym) &amp; B45 &amp; ""-b"")"),"MátAalCICE2-b")</f>
        <v>MátAalCICE2-b</v>
      </c>
      <c r="D45" s="3" t="s">
        <v>365</v>
      </c>
      <c r="E45" s="3" t="s">
        <v>366</v>
      </c>
    </row>
    <row r="46">
      <c r="A46" s="2" t="s">
        <v>363</v>
      </c>
      <c r="B46" s="3" t="s">
        <v>66</v>
      </c>
      <c r="C46" s="5" t="str">
        <f>IFERROR(__xludf.DUMMYFUNCTION("LET(acronym, REGEXREPLACE(A46, ""(\w)\w*\s*"", ""$1""), IF(LEN(acronym) = 1, LEFT(A46, 2), acronym) &amp; B46 &amp; ""-b"")"),"MátAalCICE3-b")</f>
        <v>MátAalCICE3-b</v>
      </c>
      <c r="D46" s="3" t="s">
        <v>367</v>
      </c>
      <c r="E46" s="3" t="s">
        <v>35</v>
      </c>
    </row>
    <row r="47">
      <c r="A47" s="2" t="s">
        <v>363</v>
      </c>
      <c r="B47" s="3" t="s">
        <v>112</v>
      </c>
      <c r="C47" s="5" t="str">
        <f>IFERROR(__xludf.DUMMYFUNCTION("LET(acronym, REGEXREPLACE(A47, ""(\w)\w*\s*"", ""$1""), IF(LEN(acronym) = 1, LEFT(A47, 2), acronym) &amp; B47 &amp; ""-b"")"),"MátAalCICE4-b")</f>
        <v>MátAalCICE4-b</v>
      </c>
      <c r="D47" s="3" t="s">
        <v>368</v>
      </c>
      <c r="E47" s="3" t="s">
        <v>295</v>
      </c>
    </row>
    <row r="48">
      <c r="A48" s="2" t="s">
        <v>369</v>
      </c>
      <c r="B48" s="3" t="s">
        <v>62</v>
      </c>
      <c r="C48" s="5" t="str">
        <f>IFERROR(__xludf.DUMMYFUNCTION("LET(acronym, REGEXREPLACE(A48, ""(\w)\w*\s*"", ""$1""), IF(LEN(acronym) = 1, LEFT(A48, 2), acronym) &amp; B48 &amp; ""-b"")"),"FísCE1-b")</f>
        <v>FísCE1-b</v>
      </c>
      <c r="D48" s="3" t="s">
        <v>370</v>
      </c>
      <c r="E48" s="3" t="s">
        <v>24</v>
      </c>
    </row>
    <row r="49">
      <c r="A49" s="2" t="s">
        <v>369</v>
      </c>
      <c r="B49" s="3" t="s">
        <v>64</v>
      </c>
      <c r="C49" s="5" t="str">
        <f>IFERROR(__xludf.DUMMYFUNCTION("LET(acronym, REGEXREPLACE(A49, ""(\w)\w*\s*"", ""$1""), IF(LEN(acronym) = 1, LEFT(A49, 2), acronym) &amp; B49 &amp; ""-b"")"),"FísCE2-b")</f>
        <v>FísCE2-b</v>
      </c>
      <c r="D49" s="3" t="s">
        <v>371</v>
      </c>
      <c r="E49" s="3" t="s">
        <v>22</v>
      </c>
    </row>
    <row r="50">
      <c r="A50" s="2" t="s">
        <v>369</v>
      </c>
      <c r="B50" s="3" t="s">
        <v>66</v>
      </c>
      <c r="C50" s="5" t="str">
        <f>IFERROR(__xludf.DUMMYFUNCTION("LET(acronym, REGEXREPLACE(A50, ""(\w)\w*\s*"", ""$1""), IF(LEN(acronym) = 1, LEFT(A50, 2), acronym) &amp; B50 &amp; ""-b"")"),"FísCE3-b")</f>
        <v>FísCE3-b</v>
      </c>
      <c r="D50" s="3" t="s">
        <v>372</v>
      </c>
      <c r="E50" s="3" t="s">
        <v>141</v>
      </c>
    </row>
    <row r="51">
      <c r="A51" s="2" t="s">
        <v>369</v>
      </c>
      <c r="B51" s="3" t="s">
        <v>112</v>
      </c>
      <c r="C51" s="5" t="str">
        <f>IFERROR(__xludf.DUMMYFUNCTION("LET(acronym, REGEXREPLACE(A51, ""(\w)\w*\s*"", ""$1""), IF(LEN(acronym) = 1, LEFT(A51, 2), acronym) &amp; B51 &amp; ""-b"")"),"FísCE4-b")</f>
        <v>FísCE4-b</v>
      </c>
      <c r="D51" s="3" t="s">
        <v>373</v>
      </c>
      <c r="E51" s="3" t="s">
        <v>134</v>
      </c>
    </row>
    <row r="52">
      <c r="A52" s="2" t="s">
        <v>374</v>
      </c>
      <c r="B52" s="3" t="s">
        <v>62</v>
      </c>
      <c r="C52" s="5" t="str">
        <f>IFERROR(__xludf.DUMMYFUNCTION("LET(acronym, REGEXREPLACE(A52, ""(\w)\w*\s*"", ""$1""), IF(LEN(acronym) = 1, LEFT(A52, 2), acronym) &amp; B52 &amp; ""-b"")"),"QímCE1-b")</f>
        <v>QímCE1-b</v>
      </c>
      <c r="D52" s="3" t="s">
        <v>375</v>
      </c>
      <c r="E52" s="3" t="s">
        <v>24</v>
      </c>
    </row>
    <row r="53">
      <c r="A53" s="2" t="s">
        <v>374</v>
      </c>
      <c r="B53" s="3" t="s">
        <v>64</v>
      </c>
      <c r="C53" s="5" t="str">
        <f>IFERROR(__xludf.DUMMYFUNCTION("LET(acronym, REGEXREPLACE(A53, ""(\w)\w*\s*"", ""$1""), IF(LEN(acronym) = 1, LEFT(A53, 2), acronym) &amp; B53 &amp; ""-b"")"),"QímCE2-b")</f>
        <v>QímCE2-b</v>
      </c>
      <c r="D53" s="3" t="s">
        <v>376</v>
      </c>
      <c r="E53" s="3" t="s">
        <v>22</v>
      </c>
    </row>
    <row r="54">
      <c r="A54" s="2" t="s">
        <v>374</v>
      </c>
      <c r="B54" s="3" t="s">
        <v>66</v>
      </c>
      <c r="C54" s="5" t="str">
        <f>IFERROR(__xludf.DUMMYFUNCTION("LET(acronym, REGEXREPLACE(A54, ""(\w)\w*\s*"", ""$1""), IF(LEN(acronym) = 1, LEFT(A54, 2), acronym) &amp; B54 &amp; ""-b"")"),"QímCE3-b")</f>
        <v>QímCE3-b</v>
      </c>
      <c r="D54" s="3" t="s">
        <v>377</v>
      </c>
      <c r="E54" s="3" t="s">
        <v>24</v>
      </c>
    </row>
    <row r="55">
      <c r="A55" s="2" t="s">
        <v>374</v>
      </c>
      <c r="B55" s="3" t="s">
        <v>112</v>
      </c>
      <c r="C55" s="5" t="str">
        <f>IFERROR(__xludf.DUMMYFUNCTION("LET(acronym, REGEXREPLACE(A55, ""(\w)\w*\s*"", ""$1""), IF(LEN(acronym) = 1, LEFT(A55, 2), acronym) &amp; B55 &amp; ""-b"")"),"QímCE4-b")</f>
        <v>QímCE4-b</v>
      </c>
      <c r="D55" s="3" t="s">
        <v>378</v>
      </c>
      <c r="E55" s="3" t="s">
        <v>146</v>
      </c>
    </row>
    <row r="56">
      <c r="A56" s="2" t="s">
        <v>379</v>
      </c>
      <c r="B56" s="3" t="s">
        <v>62</v>
      </c>
      <c r="C56" s="5" t="str">
        <f>IFERROR(__xludf.DUMMYFUNCTION("LET(acronym, REGEXREPLACE(A56, ""(\w)\w*\s*"", ""$1""), IF(LEN(acronym) = 1, LEFT(A56, 2), acronym) &amp; B56 &amp; ""-b"")"),"BíaCE1-b")</f>
        <v>BíaCE1-b</v>
      </c>
      <c r="D56" s="3" t="s">
        <v>380</v>
      </c>
      <c r="E56" s="3" t="s">
        <v>24</v>
      </c>
    </row>
    <row r="57">
      <c r="A57" s="2" t="s">
        <v>379</v>
      </c>
      <c r="B57" s="3" t="s">
        <v>64</v>
      </c>
      <c r="C57" s="5" t="str">
        <f>IFERROR(__xludf.DUMMYFUNCTION("LET(acronym, REGEXREPLACE(A57, ""(\w)\w*\s*"", ""$1""), IF(LEN(acronym) = 1, LEFT(A57, 2), acronym) &amp; B57 &amp; ""-b"")"),"BíaCE2-b")</f>
        <v>BíaCE2-b</v>
      </c>
      <c r="D57" s="3" t="s">
        <v>381</v>
      </c>
      <c r="E57" s="3" t="s">
        <v>24</v>
      </c>
    </row>
    <row r="58">
      <c r="A58" s="2" t="s">
        <v>379</v>
      </c>
      <c r="B58" s="3" t="s">
        <v>66</v>
      </c>
      <c r="C58" s="5" t="str">
        <f>IFERROR(__xludf.DUMMYFUNCTION("LET(acronym, REGEXREPLACE(A58, ""(\w)\w*\s*"", ""$1""), IF(LEN(acronym) = 1, LEFT(A58, 2), acronym) &amp; B58 &amp; ""-b"")"),"BíaCE3-b")</f>
        <v>BíaCE3-b</v>
      </c>
      <c r="D58" s="3" t="s">
        <v>382</v>
      </c>
      <c r="E58" s="3" t="s">
        <v>141</v>
      </c>
    </row>
    <row r="59">
      <c r="A59" s="2" t="s">
        <v>379</v>
      </c>
      <c r="B59" s="3" t="s">
        <v>112</v>
      </c>
      <c r="C59" s="5" t="str">
        <f>IFERROR(__xludf.DUMMYFUNCTION("LET(acronym, REGEXREPLACE(A59, ""(\w)\w*\s*"", ""$1""), IF(LEN(acronym) = 1, LEFT(A59, 2), acronym) &amp; B59 &amp; ""-b"")"),"BíaCE4-b")</f>
        <v>BíaCE4-b</v>
      </c>
      <c r="D59" s="3" t="s">
        <v>383</v>
      </c>
      <c r="E59" s="3" t="s">
        <v>146</v>
      </c>
    </row>
    <row r="60">
      <c r="A60" s="2" t="s">
        <v>384</v>
      </c>
      <c r="B60" s="3" t="s">
        <v>62</v>
      </c>
      <c r="C60" s="5" t="str">
        <f>IFERROR(__xludf.DUMMYFUNCTION("LET(acronym, REGEXREPLACE(A60, ""(\w)\w*\s*"", ""$1""), IF(LEN(acronym) = 1, LEFT(A60, 2), acronym) &amp; B60 &amp; ""-b"")"),"GíayCACE1-b")</f>
        <v>GíayCACE1-b</v>
      </c>
      <c r="D60" s="3" t="s">
        <v>385</v>
      </c>
      <c r="E60" s="3" t="s">
        <v>24</v>
      </c>
    </row>
    <row r="61">
      <c r="A61" s="2" t="s">
        <v>384</v>
      </c>
      <c r="B61" s="3" t="s">
        <v>64</v>
      </c>
      <c r="C61" s="5" t="str">
        <f>IFERROR(__xludf.DUMMYFUNCTION("LET(acronym, REGEXREPLACE(A61, ""(\w)\w*\s*"", ""$1""), IF(LEN(acronym) = 1, LEFT(A61, 2), acronym) &amp; B61 &amp; ""-b"")"),"GíayCACE2-b")</f>
        <v>GíayCACE2-b</v>
      </c>
      <c r="D61" s="3" t="s">
        <v>386</v>
      </c>
      <c r="E61" s="3" t="s">
        <v>28</v>
      </c>
    </row>
    <row r="62">
      <c r="A62" s="2" t="s">
        <v>384</v>
      </c>
      <c r="B62" s="3" t="s">
        <v>66</v>
      </c>
      <c r="C62" s="5" t="str">
        <f>IFERROR(__xludf.DUMMYFUNCTION("LET(acronym, REGEXREPLACE(A62, ""(\w)\w*\s*"", ""$1""), IF(LEN(acronym) = 1, LEFT(A62, 2), acronym) &amp; B62 &amp; ""-b"")"),"GíayCACE3-b")</f>
        <v>GíayCACE3-b</v>
      </c>
      <c r="D62" s="3" t="s">
        <v>387</v>
      </c>
      <c r="E62" s="3" t="s">
        <v>30</v>
      </c>
    </row>
    <row r="63">
      <c r="A63" s="2" t="s">
        <v>384</v>
      </c>
      <c r="B63" s="3" t="s">
        <v>112</v>
      </c>
      <c r="C63" s="5" t="str">
        <f>IFERROR(__xludf.DUMMYFUNCTION("LET(acronym, REGEXREPLACE(A63, ""(\w)\w*\s*"", ""$1""), IF(LEN(acronym) = 1, LEFT(A63, 2), acronym) &amp; B63 &amp; ""-b"")"),"GíayCACE4-b")</f>
        <v>GíayCACE4-b</v>
      </c>
      <c r="D63" s="3" t="s">
        <v>388</v>
      </c>
      <c r="E63" s="3" t="s">
        <v>281</v>
      </c>
    </row>
    <row r="64">
      <c r="A64" s="2" t="s">
        <v>389</v>
      </c>
      <c r="B64" s="3" t="s">
        <v>62</v>
      </c>
      <c r="C64" s="5" t="str">
        <f>IFERROR(__xludf.DUMMYFUNCTION("LET(acronym, REGEXREPLACE(A64, ""(\w)\w*\s*"", ""$1""), IF(LEN(acronym) = 1, LEFT(A64, 2), acronym) &amp; B64 &amp; ""-b"")"),"DTécICE1-b")</f>
        <v>DTécICE1-b</v>
      </c>
      <c r="D64" s="3" t="s">
        <v>390</v>
      </c>
      <c r="E64" s="3" t="s">
        <v>28</v>
      </c>
    </row>
    <row r="65">
      <c r="A65" s="2" t="s">
        <v>389</v>
      </c>
      <c r="B65" s="3" t="s">
        <v>64</v>
      </c>
      <c r="C65" s="5" t="str">
        <f>IFERROR(__xludf.DUMMYFUNCTION("LET(acronym, REGEXREPLACE(A65, ""(\w)\w*\s*"", ""$1""), IF(LEN(acronym) = 1, LEFT(A65, 2), acronym) &amp; B65 &amp; ""-b"")"),"DTécICE2-b")</f>
        <v>DTécICE2-b</v>
      </c>
      <c r="D65" s="3" t="s">
        <v>391</v>
      </c>
      <c r="E65" s="3" t="s">
        <v>22</v>
      </c>
    </row>
    <row r="66">
      <c r="A66" s="2" t="s">
        <v>389</v>
      </c>
      <c r="B66" s="3" t="s">
        <v>66</v>
      </c>
      <c r="C66" s="5" t="str">
        <f>IFERROR(__xludf.DUMMYFUNCTION("LET(acronym, REGEXREPLACE(A66, ""(\w)\w*\s*"", ""$1""), IF(LEN(acronym) = 1, LEFT(A66, 2), acronym) &amp; B66 &amp; ""-b"")"),"DTécICE3-b")</f>
        <v>DTécICE3-b</v>
      </c>
      <c r="D66" s="3" t="s">
        <v>392</v>
      </c>
      <c r="E66" s="3" t="s">
        <v>28</v>
      </c>
    </row>
    <row r="67">
      <c r="A67" s="2" t="s">
        <v>389</v>
      </c>
      <c r="B67" s="3" t="s">
        <v>112</v>
      </c>
      <c r="C67" s="5" t="str">
        <f>IFERROR(__xludf.DUMMYFUNCTION("LET(acronym, REGEXREPLACE(A67, ""(\w)\w*\s*"", ""$1""), IF(LEN(acronym) = 1, LEFT(A67, 2), acronym) &amp; B67 &amp; ""-b"")"),"DTécICE4-b")</f>
        <v>DTécICE4-b</v>
      </c>
      <c r="D67" s="3" t="s">
        <v>393</v>
      </c>
      <c r="E67" s="3" t="s">
        <v>35</v>
      </c>
    </row>
    <row r="68">
      <c r="A68" s="2" t="s">
        <v>394</v>
      </c>
      <c r="B68" s="3" t="s">
        <v>62</v>
      </c>
      <c r="C68" s="5" t="str">
        <f>IFERROR(__xludf.DUMMYFUNCTION("LET(acronym, REGEXREPLACE(A68, ""(\w)\w*\s*"", ""$1""), IF(LEN(acronym) = 1, LEFT(A68, 2), acronym) &amp; B68 &amp; ""-b"")"),"DTécICE1-b")</f>
        <v>DTécICE1-b</v>
      </c>
      <c r="D68" s="3" t="s">
        <v>395</v>
      </c>
      <c r="E68" s="3" t="s">
        <v>28</v>
      </c>
    </row>
    <row r="69">
      <c r="A69" s="2" t="s">
        <v>394</v>
      </c>
      <c r="B69" s="3" t="s">
        <v>64</v>
      </c>
      <c r="C69" s="5" t="str">
        <f>IFERROR(__xludf.DUMMYFUNCTION("LET(acronym, REGEXREPLACE(A69, ""(\w)\w*\s*"", ""$1""), IF(LEN(acronym) = 1, LEFT(A69, 2), acronym) &amp; B69 &amp; ""-b"")"),"DTécICE2-b")</f>
        <v>DTécICE2-b</v>
      </c>
      <c r="D69" s="3" t="s">
        <v>396</v>
      </c>
      <c r="E69" s="3" t="s">
        <v>22</v>
      </c>
    </row>
    <row r="70">
      <c r="A70" s="2" t="s">
        <v>394</v>
      </c>
      <c r="B70" s="3" t="s">
        <v>66</v>
      </c>
      <c r="C70" s="5" t="str">
        <f>IFERROR(__xludf.DUMMYFUNCTION("LET(acronym, REGEXREPLACE(A70, ""(\w)\w*\s*"", ""$1""), IF(LEN(acronym) = 1, LEFT(A70, 2), acronym) &amp; B70 &amp; ""-b"")"),"DTécICE3-b")</f>
        <v>DTécICE3-b</v>
      </c>
      <c r="D70" s="3" t="s">
        <v>397</v>
      </c>
      <c r="E70" s="3" t="s">
        <v>398</v>
      </c>
    </row>
    <row r="71">
      <c r="A71" s="2" t="s">
        <v>394</v>
      </c>
      <c r="B71" s="3" t="s">
        <v>112</v>
      </c>
      <c r="C71" s="5" t="str">
        <f>IFERROR(__xludf.DUMMYFUNCTION("LET(acronym, REGEXREPLACE(A71, ""(\w)\w*\s*"", ""$1""), IF(LEN(acronym) = 1, LEFT(A71, 2), acronym) &amp; B71 &amp; ""-b"")"),"DTécICE4-b")</f>
        <v>DTécICE4-b</v>
      </c>
      <c r="D71" s="3" t="s">
        <v>399</v>
      </c>
      <c r="E71" s="3" t="s">
        <v>35</v>
      </c>
    </row>
    <row r="72">
      <c r="A72" s="2" t="s">
        <v>400</v>
      </c>
      <c r="B72" s="3" t="s">
        <v>62</v>
      </c>
      <c r="C72" s="5" t="str">
        <f>IFERROR(__xludf.DUMMYFUNCTION("LET(acronym, REGEXREPLACE(A72, ""(\w)\w*\s*"", ""$1""), IF(LEN(acronym) = 1, LEFT(A72, 2), acronym) &amp; B72 &amp; ""-b"")"),"TíaeIíaICE1-b")</f>
        <v>TíaeIíaICE1-b</v>
      </c>
      <c r="D72" s="3" t="s">
        <v>401</v>
      </c>
      <c r="E72" s="3" t="s">
        <v>26</v>
      </c>
    </row>
    <row r="73">
      <c r="A73" s="2" t="s">
        <v>400</v>
      </c>
      <c r="B73" s="3" t="s">
        <v>64</v>
      </c>
      <c r="C73" s="5" t="str">
        <f>IFERROR(__xludf.DUMMYFUNCTION("LET(acronym, REGEXREPLACE(A73, ""(\w)\w*\s*"", ""$1""), IF(LEN(acronym) = 1, LEFT(A73, 2), acronym) &amp; B73 &amp; ""-b"")"),"TíaeIíaICE2-b")</f>
        <v>TíaeIíaICE2-b</v>
      </c>
      <c r="D73" s="3" t="s">
        <v>402</v>
      </c>
      <c r="E73" s="3" t="s">
        <v>403</v>
      </c>
    </row>
    <row r="74">
      <c r="A74" s="2" t="s">
        <v>400</v>
      </c>
      <c r="B74" s="3" t="s">
        <v>66</v>
      </c>
      <c r="C74" s="5" t="str">
        <f>IFERROR(__xludf.DUMMYFUNCTION("LET(acronym, REGEXREPLACE(A74, ""(\w)\w*\s*"", ""$1""), IF(LEN(acronym) = 1, LEFT(A74, 2), acronym) &amp; B74 &amp; ""-b"")"),"TíaeIíaICE3-b")</f>
        <v>TíaeIíaICE3-b</v>
      </c>
      <c r="D74" s="3" t="s">
        <v>404</v>
      </c>
      <c r="E74" s="3" t="s">
        <v>146</v>
      </c>
    </row>
    <row r="75">
      <c r="A75" s="2" t="s">
        <v>400</v>
      </c>
      <c r="B75" s="3" t="s">
        <v>112</v>
      </c>
      <c r="C75" s="5" t="str">
        <f>IFERROR(__xludf.DUMMYFUNCTION("LET(acronym, REGEXREPLACE(A75, ""(\w)\w*\s*"", ""$1""), IF(LEN(acronym) = 1, LEFT(A75, 2), acronym) &amp; B75 &amp; ""-b"")"),"TíaeIíaICE4-b")</f>
        <v>TíaeIíaICE4-b</v>
      </c>
      <c r="D75" s="3" t="s">
        <v>405</v>
      </c>
      <c r="E75" s="3" t="s">
        <v>35</v>
      </c>
    </row>
    <row r="76">
      <c r="A76" s="2" t="s">
        <v>406</v>
      </c>
      <c r="B76" s="3" t="s">
        <v>62</v>
      </c>
      <c r="C76" s="5" t="str">
        <f>IFERROR(__xludf.DUMMYFUNCTION("LET(acronym, REGEXREPLACE(A76, ""(\w)\w*\s*"", ""$1""), IF(LEN(acronym) = 1, LEFT(A76, 2), acronym) &amp; B76 &amp; ""-b"")"),"TíaeIíaICE1-b")</f>
        <v>TíaeIíaICE1-b</v>
      </c>
      <c r="D76" s="3" t="s">
        <v>407</v>
      </c>
      <c r="E76" s="3" t="s">
        <v>408</v>
      </c>
    </row>
    <row r="77">
      <c r="A77" s="2" t="s">
        <v>406</v>
      </c>
      <c r="B77" s="3" t="s">
        <v>64</v>
      </c>
      <c r="C77" s="5" t="str">
        <f>IFERROR(__xludf.DUMMYFUNCTION("LET(acronym, REGEXREPLACE(A77, ""(\w)\w*\s*"", ""$1""), IF(LEN(acronym) = 1, LEFT(A77, 2), acronym) &amp; B77 &amp; ""-b"")"),"TíaeIíaICE2-b")</f>
        <v>TíaeIíaICE2-b</v>
      </c>
      <c r="D77" s="3" t="s">
        <v>409</v>
      </c>
      <c r="E77" s="3" t="s">
        <v>410</v>
      </c>
    </row>
    <row r="78">
      <c r="A78" s="2" t="s">
        <v>406</v>
      </c>
      <c r="B78" s="3" t="s">
        <v>66</v>
      </c>
      <c r="C78" s="5" t="str">
        <f>IFERROR(__xludf.DUMMYFUNCTION("LET(acronym, REGEXREPLACE(A78, ""(\w)\w*\s*"", ""$1""), IF(LEN(acronym) = 1, LEFT(A78, 2), acronym) &amp; B78 &amp; ""-b"")"),"TíaeIíaICE3-b")</f>
        <v>TíaeIíaICE3-b</v>
      </c>
      <c r="D78" s="3" t="s">
        <v>411</v>
      </c>
      <c r="E78" s="3" t="s">
        <v>412</v>
      </c>
    </row>
    <row r="79">
      <c r="A79" s="2" t="s">
        <v>406</v>
      </c>
      <c r="B79" s="3" t="s">
        <v>112</v>
      </c>
      <c r="C79" s="5" t="str">
        <f>IFERROR(__xludf.DUMMYFUNCTION("LET(acronym, REGEXREPLACE(A79, ""(\w)\w*\s*"", ""$1""), IF(LEN(acronym) = 1, LEFT(A79, 2), acronym) &amp; B79 &amp; ""-b"")"),"TíaeIíaICE4-b")</f>
        <v>TíaeIíaICE4-b</v>
      </c>
      <c r="D79" s="3" t="s">
        <v>413</v>
      </c>
      <c r="E79" s="3" t="s">
        <v>281</v>
      </c>
    </row>
    <row r="80">
      <c r="A80" s="2" t="s">
        <v>414</v>
      </c>
      <c r="B80" s="3" t="s">
        <v>62</v>
      </c>
      <c r="C80" s="5" t="str">
        <f>IFERROR(__xludf.DUMMYFUNCTION("LET(acronym, REGEXREPLACE(A80, ""(\w)\w*\s*"", ""$1""), IF(LEN(acronym) = 1, LEFT(A80, 2), acronym) &amp; B80 &amp; ""-b"")"),"HdACE1-b")</f>
        <v>HdACE1-b</v>
      </c>
      <c r="D80" s="3" t="s">
        <v>415</v>
      </c>
      <c r="E80" s="3" t="s">
        <v>69</v>
      </c>
    </row>
    <row r="81">
      <c r="A81" s="2" t="s">
        <v>414</v>
      </c>
      <c r="B81" s="3" t="s">
        <v>64</v>
      </c>
      <c r="C81" s="5" t="str">
        <f>IFERROR(__xludf.DUMMYFUNCTION("LET(acronym, REGEXREPLACE(A81, ""(\w)\w*\s*"", ""$1""), IF(LEN(acronym) = 1, LEFT(A81, 2), acronym) &amp; B81 &amp; ""-b"")"),"HdACE2-b")</f>
        <v>HdACE2-b</v>
      </c>
      <c r="D81" s="3" t="s">
        <v>416</v>
      </c>
      <c r="E81" s="3" t="s">
        <v>156</v>
      </c>
    </row>
    <row r="82">
      <c r="A82" s="2" t="s">
        <v>414</v>
      </c>
      <c r="B82" s="3" t="s">
        <v>66</v>
      </c>
      <c r="C82" s="5" t="str">
        <f>IFERROR(__xludf.DUMMYFUNCTION("LET(acronym, REGEXREPLACE(A82, ""(\w)\w*\s*"", ""$1""), IF(LEN(acronym) = 1, LEFT(A82, 2), acronym) &amp; B82 &amp; ""-b"")"),"HdACE3-b")</f>
        <v>HdACE3-b</v>
      </c>
      <c r="D82" s="3" t="s">
        <v>417</v>
      </c>
      <c r="E82" s="3" t="s">
        <v>69</v>
      </c>
    </row>
    <row r="83">
      <c r="A83" s="2" t="s">
        <v>414</v>
      </c>
      <c r="B83" s="3" t="s">
        <v>112</v>
      </c>
      <c r="C83" s="5" t="str">
        <f>IFERROR(__xludf.DUMMYFUNCTION("LET(acronym, REGEXREPLACE(A83, ""(\w)\w*\s*"", ""$1""), IF(LEN(acronym) = 1, LEFT(A83, 2), acronym) &amp; B83 &amp; ""-b"")"),"HdACE4-b")</f>
        <v>HdACE4-b</v>
      </c>
      <c r="D83" s="3" t="s">
        <v>418</v>
      </c>
      <c r="E83" s="3" t="s">
        <v>419</v>
      </c>
    </row>
    <row r="84">
      <c r="A84" s="2" t="s">
        <v>420</v>
      </c>
      <c r="B84" s="3" t="s">
        <v>62</v>
      </c>
      <c r="C84" s="5" t="str">
        <f>IFERROR(__xludf.DUMMYFUNCTION("LET(acronym, REGEXREPLACE(A84, ""(\w)\w*\s*"", ""$1""), IF(LEN(acronym) = 1, LEFT(A84, 2), acronym) &amp; B84 &amp; ""-b"")"),"EíaCE1-b")</f>
        <v>EíaCE1-b</v>
      </c>
      <c r="D84" s="3" t="s">
        <v>421</v>
      </c>
      <c r="E84" s="3" t="s">
        <v>276</v>
      </c>
    </row>
    <row r="85">
      <c r="A85" s="2" t="s">
        <v>420</v>
      </c>
      <c r="B85" s="3" t="s">
        <v>64</v>
      </c>
      <c r="C85" s="5" t="str">
        <f>IFERROR(__xludf.DUMMYFUNCTION("LET(acronym, REGEXREPLACE(A85, ""(\w)\w*\s*"", ""$1""), IF(LEN(acronym) = 1, LEFT(A85, 2), acronym) &amp; B85 &amp; ""-b"")"),"EíaCE2-b")</f>
        <v>EíaCE2-b</v>
      </c>
      <c r="D85" s="3" t="s">
        <v>422</v>
      </c>
      <c r="E85" s="3" t="s">
        <v>28</v>
      </c>
    </row>
    <row r="86">
      <c r="A86" s="2" t="s">
        <v>420</v>
      </c>
      <c r="B86" s="3" t="s">
        <v>66</v>
      </c>
      <c r="C86" s="5" t="str">
        <f>IFERROR(__xludf.DUMMYFUNCTION("LET(acronym, REGEXREPLACE(A86, ""(\w)\w*\s*"", ""$1""), IF(LEN(acronym) = 1, LEFT(A86, 2), acronym) &amp; B86 &amp; ""-b"")"),"EíaCE3-b")</f>
        <v>EíaCE3-b</v>
      </c>
      <c r="D86" s="3" t="s">
        <v>423</v>
      </c>
      <c r="E86" s="3" t="s">
        <v>281</v>
      </c>
    </row>
    <row r="87">
      <c r="A87" s="2" t="s">
        <v>420</v>
      </c>
      <c r="B87" s="3" t="s">
        <v>112</v>
      </c>
      <c r="C87" s="5" t="str">
        <f>IFERROR(__xludf.DUMMYFUNCTION("LET(acronym, REGEXREPLACE(A87, ""(\w)\w*\s*"", ""$1""), IF(LEN(acronym) = 1, LEFT(A87, 2), acronym) &amp; B87 &amp; ""-b"")"),"EíaCE4-b")</f>
        <v>EíaCE4-b</v>
      </c>
      <c r="D87" s="3" t="s">
        <v>424</v>
      </c>
      <c r="E87" s="3" t="s">
        <v>253</v>
      </c>
    </row>
    <row r="88">
      <c r="A88" s="2" t="s">
        <v>425</v>
      </c>
      <c r="B88" s="3" t="s">
        <v>62</v>
      </c>
      <c r="C88" s="5" t="str">
        <f>IFERROR(__xludf.DUMMYFUNCTION("LET(acronym, REGEXREPLACE(A88, ""(\w)\w*\s*"", ""$1""), IF(LEN(acronym) = 1, LEFT(A88, 2), acronym) &amp; B88 &amp; ""-b"")"),"EyDñodMdNCE1-b")</f>
        <v>EyDñodMdNCE1-b</v>
      </c>
      <c r="D88" s="3" t="s">
        <v>426</v>
      </c>
      <c r="E88" s="3" t="s">
        <v>276</v>
      </c>
    </row>
    <row r="89">
      <c r="A89" s="2" t="s">
        <v>425</v>
      </c>
      <c r="B89" s="3" t="s">
        <v>64</v>
      </c>
      <c r="C89" s="5" t="str">
        <f>IFERROR(__xludf.DUMMYFUNCTION("LET(acronym, REGEXREPLACE(A89, ""(\w)\w*\s*"", ""$1""), IF(LEN(acronym) = 1, LEFT(A89, 2), acronym) &amp; B89 &amp; ""-b"")"),"EyDñodMdNCE2-b")</f>
        <v>EyDñodMdNCE2-b</v>
      </c>
      <c r="D89" s="3" t="s">
        <v>427</v>
      </c>
      <c r="E89" s="3" t="s">
        <v>279</v>
      </c>
    </row>
    <row r="90">
      <c r="A90" s="2" t="s">
        <v>425</v>
      </c>
      <c r="B90" s="3" t="s">
        <v>66</v>
      </c>
      <c r="C90" s="5" t="str">
        <f>IFERROR(__xludf.DUMMYFUNCTION("LET(acronym, REGEXREPLACE(A90, ""(\w)\w*\s*"", ""$1""), IF(LEN(acronym) = 1, LEFT(A90, 2), acronym) &amp; B90 &amp; ""-b"")"),"EyDñodMdNCE3-b")</f>
        <v>EyDñodMdNCE3-b</v>
      </c>
      <c r="D90" s="3" t="s">
        <v>428</v>
      </c>
      <c r="E90" s="3" t="s">
        <v>429</v>
      </c>
    </row>
    <row r="91">
      <c r="A91" s="2" t="s">
        <v>425</v>
      </c>
      <c r="B91" s="3" t="s">
        <v>112</v>
      </c>
      <c r="C91" s="5" t="str">
        <f>IFERROR(__xludf.DUMMYFUNCTION("LET(acronym, REGEXREPLACE(A91, ""(\w)\w*\s*"", ""$1""), IF(LEN(acronym) = 1, LEFT(A91, 2), acronym) &amp; B91 &amp; ""-b"")"),"EyDñodMdNCE4-b")</f>
        <v>EyDñodMdNCE4-b</v>
      </c>
      <c r="D91" s="3" t="s">
        <v>430</v>
      </c>
      <c r="E91" s="3" t="s">
        <v>281</v>
      </c>
    </row>
    <row r="92">
      <c r="A92" s="2" t="s">
        <v>431</v>
      </c>
      <c r="B92" s="3" t="s">
        <v>62</v>
      </c>
      <c r="C92" s="5" t="str">
        <f>IFERROR(__xludf.DUMMYFUNCTION("LET(acronym, REGEXREPLACE(A92, ""(\w)\w*\s*"", ""$1""), IF(LEN(acronym) = 1, LEFT(A92, 2), acronym) &amp; B92 &amp; ""-b"")"),"LínICE1-b")</f>
        <v>LínICE1-b</v>
      </c>
      <c r="D92" s="3" t="s">
        <v>432</v>
      </c>
      <c r="E92" s="3" t="s">
        <v>288</v>
      </c>
    </row>
    <row r="93">
      <c r="A93" s="2" t="s">
        <v>431</v>
      </c>
      <c r="B93" s="3" t="s">
        <v>64</v>
      </c>
      <c r="C93" s="5" t="str">
        <f>IFERROR(__xludf.DUMMYFUNCTION("LET(acronym, REGEXREPLACE(A93, ""(\w)\w*\s*"", ""$1""), IF(LEN(acronym) = 1, LEFT(A93, 2), acronym) &amp; B93 &amp; ""-b"")"),"LínICE2-b")</f>
        <v>LínICE2-b</v>
      </c>
      <c r="D93" s="3" t="s">
        <v>433</v>
      </c>
      <c r="E93" s="3" t="s">
        <v>6</v>
      </c>
    </row>
    <row r="94">
      <c r="A94" s="2" t="s">
        <v>431</v>
      </c>
      <c r="B94" s="3" t="s">
        <v>66</v>
      </c>
      <c r="C94" s="5" t="str">
        <f>IFERROR(__xludf.DUMMYFUNCTION("LET(acronym, REGEXREPLACE(A94, ""(\w)\w*\s*"", ""$1""), IF(LEN(acronym) = 1, LEFT(A94, 2), acronym) &amp; B94 &amp; ""-b"")"),"LínICE3-b")</f>
        <v>LínICE3-b</v>
      </c>
      <c r="D94" s="3" t="s">
        <v>434</v>
      </c>
      <c r="E94" s="3" t="s">
        <v>69</v>
      </c>
    </row>
    <row r="95">
      <c r="A95" s="2" t="s">
        <v>431</v>
      </c>
      <c r="B95" s="3" t="s">
        <v>112</v>
      </c>
      <c r="C95" s="5" t="str">
        <f>IFERROR(__xludf.DUMMYFUNCTION("LET(acronym, REGEXREPLACE(A95, ""(\w)\w*\s*"", ""$1""), IF(LEN(acronym) = 1, LEFT(A95, 2), acronym) &amp; B95 &amp; ""-b"")"),"LínICE4-b")</f>
        <v>LínICE4-b</v>
      </c>
      <c r="D95" s="3" t="s">
        <v>435</v>
      </c>
      <c r="E95" s="3" t="s">
        <v>156</v>
      </c>
    </row>
    <row r="96">
      <c r="A96" s="2" t="s">
        <v>436</v>
      </c>
      <c r="B96" s="3" t="s">
        <v>62</v>
      </c>
      <c r="C96" s="5" t="str">
        <f>IFERROR(__xludf.DUMMYFUNCTION("LET(acronym, REGEXREPLACE(A96, ""(\w)\w*\s*"", ""$1""), IF(LEN(acronym) = 1, LEFT(A96, 2), acronym) &amp; B96 &amp; ""-b"")"),"LínICE1-b")</f>
        <v>LínICE1-b</v>
      </c>
      <c r="D96" s="3" t="s">
        <v>437</v>
      </c>
      <c r="E96" s="3" t="s">
        <v>8</v>
      </c>
    </row>
    <row r="97">
      <c r="A97" s="2" t="s">
        <v>436</v>
      </c>
      <c r="B97" s="3" t="s">
        <v>64</v>
      </c>
      <c r="C97" s="5" t="str">
        <f>IFERROR(__xludf.DUMMYFUNCTION("LET(acronym, REGEXREPLACE(A97, ""(\w)\w*\s*"", ""$1""), IF(LEN(acronym) = 1, LEFT(A97, 2), acronym) &amp; B97 &amp; ""-b"")"),"LínICE2-b")</f>
        <v>LínICE2-b</v>
      </c>
      <c r="D97" s="3" t="s">
        <v>438</v>
      </c>
      <c r="E97" s="3" t="s">
        <v>6</v>
      </c>
    </row>
    <row r="98">
      <c r="A98" s="2" t="s">
        <v>436</v>
      </c>
      <c r="B98" s="3" t="s">
        <v>66</v>
      </c>
      <c r="C98" s="5" t="str">
        <f>IFERROR(__xludf.DUMMYFUNCTION("LET(acronym, REGEXREPLACE(A98, ""(\w)\w*\s*"", ""$1""), IF(LEN(acronym) = 1, LEFT(A98, 2), acronym) &amp; B98 &amp; ""-b"")"),"LínICE3-b")</f>
        <v>LínICE3-b</v>
      </c>
      <c r="D98" s="3" t="s">
        <v>439</v>
      </c>
      <c r="E98" s="3" t="s">
        <v>69</v>
      </c>
    </row>
    <row r="99">
      <c r="A99" s="2" t="s">
        <v>436</v>
      </c>
      <c r="B99" s="3" t="s">
        <v>112</v>
      </c>
      <c r="C99" s="5" t="str">
        <f>IFERROR(__xludf.DUMMYFUNCTION("LET(acronym, REGEXREPLACE(A99, ""(\w)\w*\s*"", ""$1""), IF(LEN(acronym) = 1, LEFT(A99, 2), acronym) &amp; B99 &amp; ""-b"")"),"LínICE4-b")</f>
        <v>LínICE4-b</v>
      </c>
      <c r="D99" s="3" t="s">
        <v>440</v>
      </c>
      <c r="E99" s="3" t="s">
        <v>156</v>
      </c>
    </row>
    <row r="100">
      <c r="A100" s="2" t="s">
        <v>441</v>
      </c>
      <c r="B100" s="3" t="s">
        <v>62</v>
      </c>
      <c r="C100" s="5" t="str">
        <f>IFERROR(__xludf.DUMMYFUNCTION("LET(acronym, REGEXREPLACE(A100, ""(\w)\w*\s*"", ""$1""), IF(LEN(acronym) = 1, LEFT(A100, 2), acronym) &amp; B100 &amp; ""-b"")"),"GICE1-b")</f>
        <v>GICE1-b</v>
      </c>
      <c r="D100" s="3" t="s">
        <v>442</v>
      </c>
      <c r="E100" s="3" t="s">
        <v>8</v>
      </c>
    </row>
    <row r="101">
      <c r="A101" s="2" t="s">
        <v>441</v>
      </c>
      <c r="B101" s="3" t="s">
        <v>64</v>
      </c>
      <c r="C101" s="5" t="str">
        <f>IFERROR(__xludf.DUMMYFUNCTION("LET(acronym, REGEXREPLACE(A101, ""(\w)\w*\s*"", ""$1""), IF(LEN(acronym) = 1, LEFT(A101, 2), acronym) &amp; B101 &amp; ""-b"")"),"GICE2-b")</f>
        <v>GICE2-b</v>
      </c>
      <c r="D101" s="3" t="s">
        <v>443</v>
      </c>
      <c r="E101" s="3" t="s">
        <v>6</v>
      </c>
    </row>
    <row r="102">
      <c r="A102" s="2" t="s">
        <v>441</v>
      </c>
      <c r="B102" s="3" t="s">
        <v>66</v>
      </c>
      <c r="C102" s="5" t="str">
        <f>IFERROR(__xludf.DUMMYFUNCTION("LET(acronym, REGEXREPLACE(A102, ""(\w)\w*\s*"", ""$1""), IF(LEN(acronym) = 1, LEFT(A102, 2), acronym) &amp; B102 &amp; ""-b"")"),"GICE3-b")</f>
        <v>GICE3-b</v>
      </c>
      <c r="D102" s="3" t="s">
        <v>444</v>
      </c>
      <c r="E102" s="3" t="s">
        <v>69</v>
      </c>
    </row>
    <row r="103">
      <c r="A103" s="2" t="s">
        <v>441</v>
      </c>
      <c r="B103" s="3" t="s">
        <v>112</v>
      </c>
      <c r="C103" s="5" t="str">
        <f>IFERROR(__xludf.DUMMYFUNCTION("LET(acronym, REGEXREPLACE(A103, ""(\w)\w*\s*"", ""$1""), IF(LEN(acronym) = 1, LEFT(A103, 2), acronym) &amp; B103 &amp; ""-b"")"),"GICE4-b")</f>
        <v>GICE4-b</v>
      </c>
      <c r="D103" s="3" t="s">
        <v>445</v>
      </c>
      <c r="E103" s="3" t="s">
        <v>195</v>
      </c>
    </row>
    <row r="104">
      <c r="A104" s="2" t="s">
        <v>446</v>
      </c>
      <c r="B104" s="3" t="s">
        <v>62</v>
      </c>
      <c r="C104" s="5" t="str">
        <f>IFERROR(__xludf.DUMMYFUNCTION("LET(acronym, REGEXREPLACE(A104, ""(\w)\w*\s*"", ""$1""), IF(LEN(acronym) = 1, LEFT(A104, 2), acronym) &amp; B104 &amp; ""-b"")"),"GICE1-b")</f>
        <v>GICE1-b</v>
      </c>
      <c r="D104" s="3" t="s">
        <v>447</v>
      </c>
      <c r="E104" s="3" t="s">
        <v>8</v>
      </c>
    </row>
    <row r="105">
      <c r="A105" s="2" t="s">
        <v>446</v>
      </c>
      <c r="B105" s="3" t="s">
        <v>64</v>
      </c>
      <c r="C105" s="5" t="str">
        <f>IFERROR(__xludf.DUMMYFUNCTION("LET(acronym, REGEXREPLACE(A105, ""(\w)\w*\s*"", ""$1""), IF(LEN(acronym) = 1, LEFT(A105, 2), acronym) &amp; B105 &amp; ""-b"")"),"GICE2-b")</f>
        <v>GICE2-b</v>
      </c>
      <c r="D105" s="3" t="s">
        <v>448</v>
      </c>
      <c r="E105" s="3" t="s">
        <v>6</v>
      </c>
    </row>
    <row r="106">
      <c r="A106" s="2" t="s">
        <v>446</v>
      </c>
      <c r="B106" s="3" t="s">
        <v>66</v>
      </c>
      <c r="C106" s="5" t="str">
        <f>IFERROR(__xludf.DUMMYFUNCTION("LET(acronym, REGEXREPLACE(A106, ""(\w)\w*\s*"", ""$1""), IF(LEN(acronym) = 1, LEFT(A106, 2), acronym) &amp; B106 &amp; ""-b"")"),"GICE3-b")</f>
        <v>GICE3-b</v>
      </c>
      <c r="D106" s="3" t="s">
        <v>449</v>
      </c>
      <c r="E106" s="3" t="s">
        <v>69</v>
      </c>
    </row>
    <row r="107">
      <c r="A107" s="2" t="s">
        <v>446</v>
      </c>
      <c r="B107" s="3" t="s">
        <v>112</v>
      </c>
      <c r="C107" s="5" t="str">
        <f>IFERROR(__xludf.DUMMYFUNCTION("LET(acronym, REGEXREPLACE(A107, ""(\w)\w*\s*"", ""$1""), IF(LEN(acronym) = 1, LEFT(A107, 2), acronym) &amp; B107 &amp; ""-b"")"),"GICE4-b")</f>
        <v>GICE4-b</v>
      </c>
      <c r="D107" s="3" t="s">
        <v>450</v>
      </c>
      <c r="E107" s="3" t="s">
        <v>195</v>
      </c>
    </row>
    <row r="108">
      <c r="A108" s="2" t="s">
        <v>451</v>
      </c>
      <c r="B108" s="3" t="s">
        <v>62</v>
      </c>
      <c r="C108" s="5" t="str">
        <f>IFERROR(__xludf.DUMMYFUNCTION("LET(acronym, REGEXREPLACE(A108, ""(\w)\w*\s*"", ""$1""), IF(LEN(acronym) = 1, LEFT(A108, 2), acronym) &amp; B108 &amp; ""-b"")"),"LUCE1-b")</f>
        <v>LUCE1-b</v>
      </c>
      <c r="D108" s="3" t="s">
        <v>452</v>
      </c>
      <c r="E108" s="3" t="s">
        <v>69</v>
      </c>
    </row>
    <row r="109">
      <c r="A109" s="2" t="s">
        <v>451</v>
      </c>
      <c r="B109" s="3" t="s">
        <v>64</v>
      </c>
      <c r="C109" s="5" t="str">
        <f>IFERROR(__xludf.DUMMYFUNCTION("LET(acronym, REGEXREPLACE(A109, ""(\w)\w*\s*"", ""$1""), IF(LEN(acronym) = 1, LEFT(A109, 2), acronym) &amp; B109 &amp; ""-b"")"),"LUCE2-b")</f>
        <v>LUCE2-b</v>
      </c>
      <c r="D109" s="3" t="s">
        <v>453</v>
      </c>
      <c r="E109" s="3" t="s">
        <v>243</v>
      </c>
    </row>
    <row r="110">
      <c r="A110" s="2" t="s">
        <v>451</v>
      </c>
      <c r="B110" s="3" t="s">
        <v>66</v>
      </c>
      <c r="C110" s="5" t="str">
        <f>IFERROR(__xludf.DUMMYFUNCTION("LET(acronym, REGEXREPLACE(A110, ""(\w)\w*\s*"", ""$1""), IF(LEN(acronym) = 1, LEFT(A110, 2), acronym) &amp; B110 &amp; ""-b"")"),"LUCE3-b")</f>
        <v>LUCE3-b</v>
      </c>
      <c r="D110" s="3" t="s">
        <v>454</v>
      </c>
      <c r="E110" s="3" t="s">
        <v>69</v>
      </c>
    </row>
    <row r="111">
      <c r="A111" s="2" t="s">
        <v>451</v>
      </c>
      <c r="B111" s="3" t="s">
        <v>112</v>
      </c>
      <c r="C111" s="5" t="str">
        <f>IFERROR(__xludf.DUMMYFUNCTION("LET(acronym, REGEXREPLACE(A111, ""(\w)\w*\s*"", ""$1""), IF(LEN(acronym) = 1, LEFT(A111, 2), acronym) &amp; B111 &amp; ""-b"")"),"LUCE4-b")</f>
        <v>LUCE4-b</v>
      </c>
      <c r="D111" s="3" t="s">
        <v>455</v>
      </c>
      <c r="E111" s="3" t="s">
        <v>419</v>
      </c>
    </row>
    <row r="112">
      <c r="A112" s="2" t="s">
        <v>456</v>
      </c>
      <c r="B112" s="3" t="s">
        <v>62</v>
      </c>
      <c r="C112" s="5" t="str">
        <f>IFERROR(__xludf.DUMMYFUNCTION("LET(acronym, REGEXREPLACE(A112, ""(\w)\w*\s*"", ""$1""), IF(LEN(acronym) = 1, LEFT(A112, 2), acronym) &amp; B112 &amp; ""-b"")"),"AEénCE1-b")</f>
        <v>AEénCE1-b</v>
      </c>
      <c r="D112" s="3" t="s">
        <v>457</v>
      </c>
      <c r="E112" s="3" t="s">
        <v>69</v>
      </c>
    </row>
    <row r="113">
      <c r="A113" s="2" t="s">
        <v>456</v>
      </c>
      <c r="B113" s="3" t="s">
        <v>64</v>
      </c>
      <c r="C113" s="5" t="str">
        <f>IFERROR(__xludf.DUMMYFUNCTION("LET(acronym, REGEXREPLACE(A113, ""(\w)\w*\s*"", ""$1""), IF(LEN(acronym) = 1, LEFT(A113, 2), acronym) &amp; B113 &amp; ""-b"")"),"AEénCE2-b")</f>
        <v>AEénCE2-b</v>
      </c>
      <c r="D113" s="3" t="s">
        <v>458</v>
      </c>
      <c r="E113" s="3" t="s">
        <v>175</v>
      </c>
    </row>
    <row r="114">
      <c r="A114" s="2" t="s">
        <v>456</v>
      </c>
      <c r="B114" s="3" t="s">
        <v>66</v>
      </c>
      <c r="C114" s="5" t="str">
        <f>IFERROR(__xludf.DUMMYFUNCTION("LET(acronym, REGEXREPLACE(A114, ""(\w)\w*\s*"", ""$1""), IF(LEN(acronym) = 1, LEFT(A114, 2), acronym) &amp; B114 &amp; ""-b"")"),"AEénCE3-b")</f>
        <v>AEénCE3-b</v>
      </c>
      <c r="D114" s="3" t="s">
        <v>459</v>
      </c>
      <c r="E114" s="3" t="s">
        <v>412</v>
      </c>
    </row>
    <row r="115">
      <c r="A115" s="2" t="s">
        <v>456</v>
      </c>
      <c r="B115" s="3" t="s">
        <v>112</v>
      </c>
      <c r="C115" s="5" t="str">
        <f>IFERROR(__xludf.DUMMYFUNCTION("LET(acronym, REGEXREPLACE(A115, ""(\w)\w*\s*"", ""$1""), IF(LEN(acronym) = 1, LEFT(A115, 2), acronym) &amp; B115 &amp; ""-b"")"),"AEénCE4-b")</f>
        <v>AEénCE4-b</v>
      </c>
      <c r="D115" s="3" t="s">
        <v>460</v>
      </c>
      <c r="E115" s="3" t="s">
        <v>156</v>
      </c>
    </row>
    <row r="116">
      <c r="A116" s="2" t="s">
        <v>247</v>
      </c>
      <c r="B116" s="3" t="s">
        <v>62</v>
      </c>
      <c r="C116" s="5" t="str">
        <f>IFERROR(__xludf.DUMMYFUNCTION("LET(acronym, REGEXREPLACE(A116, ""(\w)\w*\s*"", ""$1""), IF(LEN(acronym) = 1, LEFT(A116, 2), acronym) &amp; B116 &amp; ""-b"")"),"MúsCE1-b")</f>
        <v>MúsCE1-b</v>
      </c>
      <c r="D116" s="3" t="s">
        <v>461</v>
      </c>
      <c r="E116" s="3" t="s">
        <v>69</v>
      </c>
    </row>
    <row r="117">
      <c r="A117" s="2" t="s">
        <v>247</v>
      </c>
      <c r="B117" s="3" t="s">
        <v>64</v>
      </c>
      <c r="C117" s="5" t="str">
        <f>IFERROR(__xludf.DUMMYFUNCTION("LET(acronym, REGEXREPLACE(A117, ""(\w)\w*\s*"", ""$1""), IF(LEN(acronym) = 1, LEFT(A117, 2), acronym) &amp; B117 &amp; ""-b"")"),"MúsCE2-b")</f>
        <v>MúsCE2-b</v>
      </c>
      <c r="D117" s="3" t="s">
        <v>462</v>
      </c>
      <c r="E117" s="3" t="s">
        <v>71</v>
      </c>
    </row>
    <row r="118">
      <c r="A118" s="2" t="s">
        <v>247</v>
      </c>
      <c r="B118" s="3" t="s">
        <v>66</v>
      </c>
      <c r="C118" s="5" t="str">
        <f>IFERROR(__xludf.DUMMYFUNCTION("LET(acronym, REGEXREPLACE(A118, ""(\w)\w*\s*"", ""$1""), IF(LEN(acronym) = 1, LEFT(A118, 2), acronym) &amp; B118 &amp; ""-b"")"),"MúsCE3-b")</f>
        <v>MúsCE3-b</v>
      </c>
      <c r="D118" s="3" t="s">
        <v>463</v>
      </c>
      <c r="E118" s="3" t="s">
        <v>180</v>
      </c>
    </row>
    <row r="119">
      <c r="A119" s="2" t="s">
        <v>247</v>
      </c>
      <c r="B119" s="3" t="s">
        <v>112</v>
      </c>
      <c r="C119" s="5" t="str">
        <f>IFERROR(__xludf.DUMMYFUNCTION("LET(acronym, REGEXREPLACE(A119, ""(\w)\w*\s*"", ""$1""), IF(LEN(acronym) = 1, LEFT(A119, 2), acronym) &amp; B119 &amp; ""-b"")"),"MúsCE4-b")</f>
        <v>MúsCE4-b</v>
      </c>
      <c r="D119" s="3" t="s">
        <v>464</v>
      </c>
      <c r="E119" s="3" t="s">
        <v>412</v>
      </c>
    </row>
    <row r="120">
      <c r="A120" s="2" t="s">
        <v>465</v>
      </c>
      <c r="B120" s="3" t="s">
        <v>62</v>
      </c>
      <c r="C120" s="5" t="str">
        <f>IFERROR(__xludf.DUMMYFUNCTION("LET(acronym, REGEXREPLACE(A120, ""(\w)\w*\s*"", ""$1""), IF(LEN(acronym) = 1, LEFT(A120, 2), acronym) &amp; B120 &amp; ""-b"")"),"CAICE1-b")</f>
        <v>CAICE1-b</v>
      </c>
      <c r="D120" s="3" t="s">
        <v>466</v>
      </c>
      <c r="E120" s="3" t="s">
        <v>69</v>
      </c>
    </row>
    <row r="121">
      <c r="A121" s="2" t="s">
        <v>465</v>
      </c>
      <c r="B121" s="3" t="s">
        <v>64</v>
      </c>
      <c r="C121" s="5" t="str">
        <f>IFERROR(__xludf.DUMMYFUNCTION("LET(acronym, REGEXREPLACE(A121, ""(\w)\w*\s*"", ""$1""), IF(LEN(acronym) = 1, LEFT(A121, 2), acronym) &amp; B121 &amp; ""-b"")"),"CAICE2-b")</f>
        <v>CAICE2-b</v>
      </c>
      <c r="D121" s="3" t="s">
        <v>467</v>
      </c>
      <c r="E121" s="3" t="s">
        <v>69</v>
      </c>
    </row>
    <row r="122">
      <c r="A122" s="2" t="s">
        <v>465</v>
      </c>
      <c r="B122" s="3" t="s">
        <v>66</v>
      </c>
      <c r="C122" s="5" t="str">
        <f>IFERROR(__xludf.DUMMYFUNCTION("LET(acronym, REGEXREPLACE(A122, ""(\w)\w*\s*"", ""$1""), IF(LEN(acronym) = 1, LEFT(A122, 2), acronym) &amp; B122 &amp; ""-b"")"),"CAICE3-b")</f>
        <v>CAICE3-b</v>
      </c>
      <c r="D122" s="3" t="s">
        <v>468</v>
      </c>
      <c r="E122" s="3" t="s">
        <v>180</v>
      </c>
    </row>
    <row r="123">
      <c r="A123" s="2" t="s">
        <v>465</v>
      </c>
      <c r="B123" s="3" t="s">
        <v>112</v>
      </c>
      <c r="C123" s="5" t="str">
        <f>IFERROR(__xludf.DUMMYFUNCTION("LET(acronym, REGEXREPLACE(A123, ""(\w)\w*\s*"", ""$1""), IF(LEN(acronym) = 1, LEFT(A123, 2), acronym) &amp; B123 &amp; ""-b"")"),"CAICE4-b")</f>
        <v>CAICE4-b</v>
      </c>
      <c r="D123" s="3" t="s">
        <v>469</v>
      </c>
      <c r="E123" s="3" t="s">
        <v>253</v>
      </c>
    </row>
    <row r="124">
      <c r="A124" s="2" t="s">
        <v>470</v>
      </c>
      <c r="B124" s="3" t="s">
        <v>62</v>
      </c>
      <c r="C124" s="5" t="str">
        <f>IFERROR(__xludf.DUMMYFUNCTION("LET(acronym, REGEXREPLACE(A124, ""(\w)\w*\s*"", ""$1""), IF(LEN(acronym) = 1, LEFT(A124, 2), acronym) &amp; B124 &amp; ""-b"")"),"CAICE1-b")</f>
        <v>CAICE1-b</v>
      </c>
      <c r="D124" s="3" t="s">
        <v>471</v>
      </c>
      <c r="E124" s="3" t="s">
        <v>243</v>
      </c>
    </row>
    <row r="125">
      <c r="A125" s="2" t="s">
        <v>470</v>
      </c>
      <c r="B125" s="3" t="s">
        <v>64</v>
      </c>
      <c r="C125" s="5" t="str">
        <f>IFERROR(__xludf.DUMMYFUNCTION("LET(acronym, REGEXREPLACE(A125, ""(\w)\w*\s*"", ""$1""), IF(LEN(acronym) = 1, LEFT(A125, 2), acronym) &amp; B125 &amp; ""-b"")"),"CAICE2-b")</f>
        <v>CAICE2-b</v>
      </c>
      <c r="D125" s="3" t="s">
        <v>472</v>
      </c>
      <c r="E125" s="3" t="s">
        <v>180</v>
      </c>
    </row>
    <row r="126">
      <c r="A126" s="2" t="s">
        <v>470</v>
      </c>
      <c r="B126" s="3" t="s">
        <v>66</v>
      </c>
      <c r="C126" s="5" t="str">
        <f>IFERROR(__xludf.DUMMYFUNCTION("LET(acronym, REGEXREPLACE(A126, ""(\w)\w*\s*"", ""$1""), IF(LEN(acronym) = 1, LEFT(A126, 2), acronym) &amp; B126 &amp; ""-b"")"),"CAICE3-b")</f>
        <v>CAICE3-b</v>
      </c>
      <c r="D126" s="3" t="s">
        <v>473</v>
      </c>
      <c r="E126" s="3" t="s">
        <v>35</v>
      </c>
    </row>
    <row r="127">
      <c r="A127" s="2" t="s">
        <v>470</v>
      </c>
      <c r="B127" s="3" t="s">
        <v>112</v>
      </c>
      <c r="C127" s="5" t="str">
        <f>IFERROR(__xludf.DUMMYFUNCTION("LET(acronym, REGEXREPLACE(A127, ""(\w)\w*\s*"", ""$1""), IF(LEN(acronym) = 1, LEFT(A127, 2), acronym) &amp; B127 &amp; ""-b"")"),"CAICE4-b")</f>
        <v>CAICE4-b</v>
      </c>
      <c r="D127" s="3" t="s">
        <v>474</v>
      </c>
      <c r="E127" s="3" t="s">
        <v>219</v>
      </c>
    </row>
    <row r="128">
      <c r="A128" s="2" t="s">
        <v>475</v>
      </c>
      <c r="B128" s="3" t="s">
        <v>62</v>
      </c>
      <c r="C128" s="5" t="str">
        <f>IFERROR(__xludf.DUMMYFUNCTION("LET(acronym, REGEXREPLACE(A128, ""(\w)\w*\s*"", ""$1""), IF(LEN(acronym) = 1, LEFT(A128, 2), acronym) &amp; B128 &amp; ""-b"")"),"DñoCE1-b")</f>
        <v>DñoCE1-b</v>
      </c>
      <c r="D128" s="3" t="s">
        <v>476</v>
      </c>
      <c r="E128" s="3" t="s">
        <v>69</v>
      </c>
    </row>
    <row r="129">
      <c r="A129" s="2" t="s">
        <v>475</v>
      </c>
      <c r="B129" s="3" t="s">
        <v>64</v>
      </c>
      <c r="C129" s="5" t="str">
        <f>IFERROR(__xludf.DUMMYFUNCTION("LET(acronym, REGEXREPLACE(A129, ""(\w)\w*\s*"", ""$1""), IF(LEN(acronym) = 1, LEFT(A129, 2), acronym) &amp; B129 &amp; ""-b"")"),"DñoCE2-b")</f>
        <v>DñoCE2-b</v>
      </c>
      <c r="D129" s="3" t="s">
        <v>477</v>
      </c>
      <c r="E129" s="3" t="s">
        <v>175</v>
      </c>
    </row>
    <row r="130">
      <c r="A130" s="2" t="s">
        <v>475</v>
      </c>
      <c r="B130" s="3" t="s">
        <v>66</v>
      </c>
      <c r="C130" s="5" t="str">
        <f>IFERROR(__xludf.DUMMYFUNCTION("LET(acronym, REGEXREPLACE(A130, ""(\w)\w*\s*"", ""$1""), IF(LEN(acronym) = 1, LEFT(A130, 2), acronym) &amp; B130 &amp; ""-b"")"),"DñoCE3-b")</f>
        <v>DñoCE3-b</v>
      </c>
      <c r="D130" s="3" t="s">
        <v>478</v>
      </c>
      <c r="E130" s="3" t="s">
        <v>35</v>
      </c>
    </row>
    <row r="131">
      <c r="A131" s="2" t="s">
        <v>475</v>
      </c>
      <c r="B131" s="3" t="s">
        <v>112</v>
      </c>
      <c r="C131" s="5" t="str">
        <f>IFERROR(__xludf.DUMMYFUNCTION("LET(acronym, REGEXREPLACE(A131, ""(\w)\w*\s*"", ""$1""), IF(LEN(acronym) = 1, LEFT(A131, 2), acronym) &amp; B131 &amp; ""-b"")"),"DñoCE4-b")</f>
        <v>DñoCE4-b</v>
      </c>
      <c r="D131" s="3" t="s">
        <v>479</v>
      </c>
      <c r="E131" s="3" t="s">
        <v>156</v>
      </c>
    </row>
    <row r="132">
      <c r="A132" s="2" t="s">
        <v>480</v>
      </c>
      <c r="B132" s="3" t="s">
        <v>62</v>
      </c>
      <c r="C132" s="5" t="str">
        <f>IFERROR(__xludf.DUMMYFUNCTION("LET(acronym, REGEXREPLACE(A132, ""(\w)\w*\s*"", ""$1""), IF(LEN(acronym) = 1, LEFT(A132, 2), acronym) &amp; B132 &amp; ""-b"")"),"VoCE1-b")</f>
        <v>VoCE1-b</v>
      </c>
      <c r="D132" s="3" t="s">
        <v>481</v>
      </c>
      <c r="E132" s="3" t="s">
        <v>69</v>
      </c>
    </row>
    <row r="133">
      <c r="A133" s="2" t="s">
        <v>480</v>
      </c>
      <c r="B133" s="3" t="s">
        <v>64</v>
      </c>
      <c r="C133" s="5" t="str">
        <f>IFERROR(__xludf.DUMMYFUNCTION("LET(acronym, REGEXREPLACE(A133, ""(\w)\w*\s*"", ""$1""), IF(LEN(acronym) = 1, LEFT(A133, 2), acronym) &amp; B133 &amp; ""-b"")"),"VoCE2-b")</f>
        <v>VoCE2-b</v>
      </c>
      <c r="D133" s="3" t="s">
        <v>482</v>
      </c>
      <c r="E133" s="3" t="s">
        <v>71</v>
      </c>
    </row>
    <row r="134">
      <c r="A134" s="2" t="s">
        <v>480</v>
      </c>
      <c r="B134" s="3" t="s">
        <v>66</v>
      </c>
      <c r="C134" s="5" t="str">
        <f>IFERROR(__xludf.DUMMYFUNCTION("LET(acronym, REGEXREPLACE(A134, ""(\w)\w*\s*"", ""$1""), IF(LEN(acronym) = 1, LEFT(A134, 2), acronym) &amp; B134 &amp; ""-b"")"),"VoCE3-b")</f>
        <v>VoCE3-b</v>
      </c>
      <c r="D134" s="3" t="s">
        <v>483</v>
      </c>
      <c r="E134" s="3" t="s">
        <v>253</v>
      </c>
    </row>
    <row r="135">
      <c r="A135" s="2" t="s">
        <v>480</v>
      </c>
      <c r="B135" s="3" t="s">
        <v>112</v>
      </c>
      <c r="C135" s="5" t="str">
        <f>IFERROR(__xludf.DUMMYFUNCTION("LET(acronym, REGEXREPLACE(A135, ""(\w)\w*\s*"", ""$1""), IF(LEN(acronym) = 1, LEFT(A135, 2), acronym) &amp; B135 &amp; ""-b"")"),"VoCE4-b")</f>
        <v>VoCE4-b</v>
      </c>
      <c r="D135" s="3" t="s">
        <v>484</v>
      </c>
      <c r="E135" s="3" t="s">
        <v>156</v>
      </c>
    </row>
    <row r="136">
      <c r="A136" s="2" t="s">
        <v>485</v>
      </c>
      <c r="B136" s="3" t="s">
        <v>62</v>
      </c>
      <c r="C136" s="5" t="str">
        <f>IFERROR(__xludf.DUMMYFUNCTION("LET(acronym, REGEXREPLACE(A136, ""(\w)\w*\s*"", ""$1""), IF(LEN(acronym) = 1, LEFT(A136, 2), acronym) &amp; B136 &amp; ""-b"")"),"MCyAísCE1-b")</f>
        <v>MCyAísCE1-b</v>
      </c>
      <c r="D136" s="3" t="s">
        <v>486</v>
      </c>
      <c r="E136" s="3" t="s">
        <v>69</v>
      </c>
    </row>
    <row r="137">
      <c r="A137" s="2" t="s">
        <v>485</v>
      </c>
      <c r="B137" s="3" t="s">
        <v>64</v>
      </c>
      <c r="C137" s="5" t="str">
        <f>IFERROR(__xludf.DUMMYFUNCTION("LET(acronym, REGEXREPLACE(A137, ""(\w)\w*\s*"", ""$1""), IF(LEN(acronym) = 1, LEFT(A137, 2), acronym) &amp; B137 &amp; ""-b"")"),"MCyAísCE2-b")</f>
        <v>MCyAísCE2-b</v>
      </c>
      <c r="D137" s="3" t="s">
        <v>487</v>
      </c>
      <c r="E137" s="3" t="s">
        <v>69</v>
      </c>
    </row>
    <row r="138">
      <c r="A138" s="2" t="s">
        <v>485</v>
      </c>
      <c r="B138" s="3" t="s">
        <v>66</v>
      </c>
      <c r="C138" s="5" t="str">
        <f>IFERROR(__xludf.DUMMYFUNCTION("LET(acronym, REGEXREPLACE(A138, ""(\w)\w*\s*"", ""$1""), IF(LEN(acronym) = 1, LEFT(A138, 2), acronym) &amp; B138 &amp; ""-b"")"),"MCyAísCE3-b")</f>
        <v>MCyAísCE3-b</v>
      </c>
      <c r="D138" s="3" t="s">
        <v>488</v>
      </c>
      <c r="E138" s="3" t="s">
        <v>69</v>
      </c>
    </row>
    <row r="139">
      <c r="A139" s="2" t="s">
        <v>485</v>
      </c>
      <c r="B139" s="3" t="s">
        <v>112</v>
      </c>
      <c r="C139" s="5" t="str">
        <f>IFERROR(__xludf.DUMMYFUNCTION("LET(acronym, REGEXREPLACE(A139, ""(\w)\w*\s*"", ""$1""), IF(LEN(acronym) = 1, LEFT(A139, 2), acronym) &amp; B139 &amp; ""-b"")"),"MCyAísCE4-b")</f>
        <v>MCyAísCE4-b</v>
      </c>
      <c r="D139" s="3" t="s">
        <v>489</v>
      </c>
      <c r="E139" s="3" t="s">
        <v>419</v>
      </c>
    </row>
    <row r="140">
      <c r="A140" s="2" t="s">
        <v>490</v>
      </c>
      <c r="B140" s="3" t="s">
        <v>62</v>
      </c>
      <c r="C140" s="5" t="str">
        <f>IFERROR(__xludf.DUMMYFUNCTION("LET(acronym, REGEXREPLACE(A140, ""(\w)\w*\s*"", ""$1""), IF(LEN(acronym) = 1, LEFT(A140, 2), acronym) &amp; B140 &amp; ""-b"")"),"PíaCE1-b")</f>
        <v>PíaCE1-b</v>
      </c>
      <c r="D140" s="3" t="s">
        <v>491</v>
      </c>
      <c r="E140" s="3" t="s">
        <v>187</v>
      </c>
    </row>
    <row r="141">
      <c r="A141" s="2" t="s">
        <v>490</v>
      </c>
      <c r="B141" s="3" t="s">
        <v>64</v>
      </c>
      <c r="C141" s="5" t="str">
        <f>IFERROR(__xludf.DUMMYFUNCTION("LET(acronym, REGEXREPLACE(A141, ""(\w)\w*\s*"", ""$1""), IF(LEN(acronym) = 1, LEFT(A141, 2), acronym) &amp; B141 &amp; ""-b"")"),"PíaCE2-b")</f>
        <v>PíaCE2-b</v>
      </c>
      <c r="D141" s="3" t="s">
        <v>492</v>
      </c>
      <c r="E141" s="3" t="s">
        <v>187</v>
      </c>
    </row>
    <row r="142">
      <c r="A142" s="2" t="s">
        <v>490</v>
      </c>
      <c r="B142" s="3" t="s">
        <v>66</v>
      </c>
      <c r="C142" s="5" t="str">
        <f>IFERROR(__xludf.DUMMYFUNCTION("LET(acronym, REGEXREPLACE(A142, ""(\w)\w*\s*"", ""$1""), IF(LEN(acronym) = 1, LEFT(A142, 2), acronym) &amp; B142 &amp; ""-b"")"),"PíaCE3-b")</f>
        <v>PíaCE3-b</v>
      </c>
      <c r="D142" s="3" t="s">
        <v>493</v>
      </c>
      <c r="E142" s="3" t="s">
        <v>184</v>
      </c>
    </row>
    <row r="143">
      <c r="A143" s="2" t="s">
        <v>490</v>
      </c>
      <c r="B143" s="3" t="s">
        <v>112</v>
      </c>
      <c r="C143" s="5" t="str">
        <f>IFERROR(__xludf.DUMMYFUNCTION("LET(acronym, REGEXREPLACE(A143, ""(\w)\w*\s*"", ""$1""), IF(LEN(acronym) = 1, LEFT(A143, 2), acronym) &amp; B143 &amp; ""-b"")"),"PíaCE4-b")</f>
        <v>PíaCE4-b</v>
      </c>
      <c r="D143" s="3" t="s">
        <v>494</v>
      </c>
      <c r="E143" s="3" t="s">
        <v>495</v>
      </c>
    </row>
    <row r="144">
      <c r="A144" s="2" t="s">
        <v>496</v>
      </c>
      <c r="B144" s="3" t="s">
        <v>62</v>
      </c>
      <c r="C144" s="5" t="str">
        <f>IFERROR(__xludf.DUMMYFUNCTION("LET(acronym, REGEXREPLACE(A144, ""(\w)\w*\s*"", ""$1""), IF(LEN(acronym) = 1, LEFT(A144, 2), acronym) &amp; B144 &amp; ""-b"")"),"SLEICE1-b")</f>
        <v>SLEICE1-b</v>
      </c>
      <c r="D144" s="3" t="s">
        <v>497</v>
      </c>
      <c r="E144" s="3" t="s">
        <v>15</v>
      </c>
    </row>
    <row r="145">
      <c r="A145" s="2" t="s">
        <v>496</v>
      </c>
      <c r="B145" s="3" t="s">
        <v>64</v>
      </c>
      <c r="C145" s="5" t="str">
        <f>IFERROR(__xludf.DUMMYFUNCTION("LET(acronym, REGEXREPLACE(A145, ""(\w)\w*\s*"", ""$1""), IF(LEN(acronym) = 1, LEFT(A145, 2), acronym) &amp; B145 &amp; ""-b"")"),"SLEICE2-b")</f>
        <v>SLEICE2-b</v>
      </c>
      <c r="D145" s="3" t="s">
        <v>498</v>
      </c>
      <c r="E145" s="3" t="s">
        <v>15</v>
      </c>
    </row>
    <row r="146">
      <c r="A146" s="2" t="s">
        <v>496</v>
      </c>
      <c r="B146" s="3" t="s">
        <v>66</v>
      </c>
      <c r="C146" s="5" t="str">
        <f>IFERROR(__xludf.DUMMYFUNCTION("LET(acronym, REGEXREPLACE(A146, ""(\w)\w*\s*"", ""$1""), IF(LEN(acronym) = 1, LEFT(A146, 2), acronym) &amp; B146 &amp; ""-b"")"),"SLEICE3-b")</f>
        <v>SLEICE3-b</v>
      </c>
      <c r="D146" s="3" t="s">
        <v>499</v>
      </c>
      <c r="E146" s="3" t="s">
        <v>19</v>
      </c>
    </row>
    <row r="147">
      <c r="A147" s="2" t="s">
        <v>496</v>
      </c>
      <c r="B147" s="3" t="s">
        <v>112</v>
      </c>
      <c r="C147" s="5" t="str">
        <f>IFERROR(__xludf.DUMMYFUNCTION("LET(acronym, REGEXREPLACE(A147, ""(\w)\w*\s*"", ""$1""), IF(LEN(acronym) = 1, LEFT(A147, 2), acronym) &amp; B147 &amp; ""-b"")"),"SLEICE4-b")</f>
        <v>SLEICE4-b</v>
      </c>
      <c r="D147" s="3" t="s">
        <v>500</v>
      </c>
      <c r="E147" s="3" t="s">
        <v>35</v>
      </c>
    </row>
    <row r="148">
      <c r="A148" s="2" t="s">
        <v>501</v>
      </c>
      <c r="B148" s="3" t="s">
        <v>62</v>
      </c>
      <c r="C148" s="5" t="str">
        <f>IFERROR(__xludf.DUMMYFUNCTION("LET(acronym, REGEXREPLACE(A148, ""(\w)\w*\s*"", ""$1""), IF(LEN(acronym) = 1, LEFT(A148, 2), acronym) &amp; B148 &amp; ""-b"")"),"SLEICE1-b")</f>
        <v>SLEICE1-b</v>
      </c>
      <c r="D148" s="3" t="s">
        <v>502</v>
      </c>
      <c r="E148" s="3" t="s">
        <v>162</v>
      </c>
    </row>
    <row r="149">
      <c r="A149" s="2" t="s">
        <v>501</v>
      </c>
      <c r="B149" s="3" t="s">
        <v>64</v>
      </c>
      <c r="C149" s="5" t="str">
        <f>IFERROR(__xludf.DUMMYFUNCTION("LET(acronym, REGEXREPLACE(A149, ""(\w)\w*\s*"", ""$1""), IF(LEN(acronym) = 1, LEFT(A149, 2), acronym) &amp; B149 &amp; ""-b"")"),"SLEICE2-b")</f>
        <v>SLEICE2-b</v>
      </c>
      <c r="D149" s="3" t="s">
        <v>503</v>
      </c>
      <c r="E149" s="3" t="s">
        <v>15</v>
      </c>
    </row>
    <row r="150">
      <c r="A150" s="2" t="s">
        <v>501</v>
      </c>
      <c r="B150" s="3" t="s">
        <v>66</v>
      </c>
      <c r="C150" s="5" t="str">
        <f>IFERROR(__xludf.DUMMYFUNCTION("LET(acronym, REGEXREPLACE(A150, ""(\w)\w*\s*"", ""$1""), IF(LEN(acronym) = 1, LEFT(A150, 2), acronym) &amp; B150 &amp; ""-b"")"),"SLEICE3-b")</f>
        <v>SLEICE3-b</v>
      </c>
      <c r="D150" s="3" t="s">
        <v>504</v>
      </c>
      <c r="E150" s="3" t="s">
        <v>15</v>
      </c>
    </row>
    <row r="151">
      <c r="A151" s="2" t="s">
        <v>501</v>
      </c>
      <c r="B151" s="3" t="s">
        <v>112</v>
      </c>
      <c r="C151" s="5" t="str">
        <f>IFERROR(__xludf.DUMMYFUNCTION("LET(acronym, REGEXREPLACE(A151, ""(\w)\w*\s*"", ""$1""), IF(LEN(acronym) = 1, LEFT(A151, 2), acronym) &amp; B151 &amp; ""-b"")"),"SLEICE4-b")</f>
        <v>SLEICE4-b</v>
      </c>
      <c r="D151" s="3" t="s">
        <v>505</v>
      </c>
      <c r="E151" s="3" t="s">
        <v>506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37.88"/>
    <col customWidth="1" min="6" max="6" width="16.88"/>
  </cols>
  <sheetData>
    <row r="1">
      <c r="A1" s="6" t="s">
        <v>507</v>
      </c>
      <c r="B1" s="1" t="s">
        <v>508</v>
      </c>
      <c r="C1" s="1" t="s">
        <v>102</v>
      </c>
      <c r="D1" s="1" t="s">
        <v>77</v>
      </c>
      <c r="E1" s="1" t="s">
        <v>103</v>
      </c>
      <c r="F1" s="1" t="s">
        <v>104</v>
      </c>
    </row>
    <row r="2">
      <c r="A2" s="7" t="s">
        <v>509</v>
      </c>
      <c r="B2" s="2" t="s">
        <v>79</v>
      </c>
      <c r="C2" s="3" t="s">
        <v>80</v>
      </c>
      <c r="D2" s="3" t="str">
        <f t="shared" ref="D2:D6" si="1">"CdSmyAP" &amp; C2 &amp; "-i"</f>
        <v>CdSmyAPO1-i</v>
      </c>
      <c r="E2" s="3" t="s">
        <v>81</v>
      </c>
      <c r="F2" s="8" t="s">
        <v>510</v>
      </c>
      <c r="H2" s="9" t="str">
        <f t="shared" ref="H2:H284" si="2">"grand-" &amp; D2</f>
        <v>grand-CdSmyAPO1-i</v>
      </c>
    </row>
    <row r="3">
      <c r="A3" s="7" t="s">
        <v>509</v>
      </c>
      <c r="B3" s="2" t="s">
        <v>79</v>
      </c>
      <c r="C3" s="3" t="s">
        <v>82</v>
      </c>
      <c r="D3" s="3" t="str">
        <f t="shared" si="1"/>
        <v>CdSmyAPO2-i</v>
      </c>
      <c r="E3" s="3" t="s">
        <v>83</v>
      </c>
      <c r="F3" s="8" t="s">
        <v>510</v>
      </c>
      <c r="H3" s="9" t="str">
        <f t="shared" si="2"/>
        <v>grand-CdSmyAPO2-i</v>
      </c>
    </row>
    <row r="4">
      <c r="A4" s="7" t="s">
        <v>509</v>
      </c>
      <c r="B4" s="2" t="s">
        <v>79</v>
      </c>
      <c r="C4" s="3" t="s">
        <v>84</v>
      </c>
      <c r="D4" s="3" t="str">
        <f t="shared" si="1"/>
        <v>CdSmyAPO3-i</v>
      </c>
      <c r="E4" s="3" t="s">
        <v>85</v>
      </c>
      <c r="F4" s="8" t="s">
        <v>510</v>
      </c>
      <c r="H4" s="9" t="str">
        <f t="shared" si="2"/>
        <v>grand-CdSmyAPO3-i</v>
      </c>
    </row>
    <row r="5">
      <c r="A5" s="7" t="s">
        <v>509</v>
      </c>
      <c r="B5" s="2" t="s">
        <v>79</v>
      </c>
      <c r="C5" s="3" t="s">
        <v>86</v>
      </c>
      <c r="D5" s="3" t="str">
        <f t="shared" si="1"/>
        <v>CdSmyAPO4-i</v>
      </c>
      <c r="E5" s="3" t="s">
        <v>87</v>
      </c>
      <c r="F5" s="8" t="s">
        <v>510</v>
      </c>
      <c r="H5" s="9" t="str">
        <f t="shared" si="2"/>
        <v>grand-CdSmyAPO4-i</v>
      </c>
    </row>
    <row r="6">
      <c r="A6" s="7" t="s">
        <v>509</v>
      </c>
      <c r="B6" s="2" t="s">
        <v>79</v>
      </c>
      <c r="C6" s="3" t="s">
        <v>88</v>
      </c>
      <c r="D6" s="3" t="str">
        <f t="shared" si="1"/>
        <v>CdSmyAPO5-i</v>
      </c>
      <c r="E6" s="3" t="s">
        <v>89</v>
      </c>
      <c r="F6" s="8" t="s">
        <v>510</v>
      </c>
      <c r="H6" s="9" t="str">
        <f t="shared" si="2"/>
        <v>grand-CdSmyAPO5-i</v>
      </c>
    </row>
    <row r="7">
      <c r="A7" s="7" t="s">
        <v>509</v>
      </c>
      <c r="B7" s="2" t="s">
        <v>90</v>
      </c>
      <c r="C7" s="3" t="s">
        <v>80</v>
      </c>
      <c r="D7" s="3" t="str">
        <f t="shared" ref="D7:D11" si="3">"CdE" &amp; C7 &amp; "-i"</f>
        <v>CdEO1-i</v>
      </c>
      <c r="E7" s="3" t="s">
        <v>91</v>
      </c>
      <c r="F7" s="8" t="s">
        <v>510</v>
      </c>
      <c r="H7" s="9" t="str">
        <f t="shared" si="2"/>
        <v>grand-CdEO1-i</v>
      </c>
    </row>
    <row r="8">
      <c r="A8" s="7" t="s">
        <v>509</v>
      </c>
      <c r="B8" s="2" t="s">
        <v>90</v>
      </c>
      <c r="C8" s="3" t="s">
        <v>82</v>
      </c>
      <c r="D8" s="3" t="str">
        <f t="shared" si="3"/>
        <v>CdEO2-i</v>
      </c>
      <c r="E8" s="3" t="s">
        <v>92</v>
      </c>
      <c r="F8" s="8" t="s">
        <v>510</v>
      </c>
      <c r="H8" s="9" t="str">
        <f t="shared" si="2"/>
        <v>grand-CdEO2-i</v>
      </c>
    </row>
    <row r="9">
      <c r="A9" s="7" t="s">
        <v>509</v>
      </c>
      <c r="B9" s="2" t="s">
        <v>90</v>
      </c>
      <c r="C9" s="3" t="s">
        <v>84</v>
      </c>
      <c r="D9" s="3" t="str">
        <f t="shared" si="3"/>
        <v>CdEO3-i</v>
      </c>
      <c r="E9" s="3" t="s">
        <v>93</v>
      </c>
      <c r="F9" s="8" t="s">
        <v>510</v>
      </c>
      <c r="H9" s="9" t="str">
        <f t="shared" si="2"/>
        <v>grand-CdEO3-i</v>
      </c>
    </row>
    <row r="10">
      <c r="A10" s="7" t="s">
        <v>509</v>
      </c>
      <c r="B10" s="2" t="s">
        <v>90</v>
      </c>
      <c r="C10" s="3" t="s">
        <v>86</v>
      </c>
      <c r="D10" s="3" t="str">
        <f t="shared" si="3"/>
        <v>CdEO4-i</v>
      </c>
      <c r="E10" s="3" t="s">
        <v>94</v>
      </c>
      <c r="F10" s="8" t="s">
        <v>510</v>
      </c>
      <c r="H10" s="9" t="str">
        <f t="shared" si="2"/>
        <v>grand-CdEO4-i</v>
      </c>
    </row>
    <row r="11">
      <c r="A11" s="7" t="s">
        <v>509</v>
      </c>
      <c r="B11" s="2" t="s">
        <v>90</v>
      </c>
      <c r="C11" s="3" t="s">
        <v>88</v>
      </c>
      <c r="D11" s="3" t="str">
        <f t="shared" si="3"/>
        <v>CdEO5-i</v>
      </c>
      <c r="E11" s="3" t="s">
        <v>95</v>
      </c>
      <c r="F11" s="8" t="s">
        <v>510</v>
      </c>
      <c r="H11" s="9" t="str">
        <f t="shared" si="2"/>
        <v>grand-CdEO5-i</v>
      </c>
    </row>
    <row r="12">
      <c r="A12" s="7" t="s">
        <v>509</v>
      </c>
      <c r="B12" s="2" t="s">
        <v>96</v>
      </c>
      <c r="C12" s="3" t="s">
        <v>80</v>
      </c>
      <c r="D12" s="3" t="str">
        <f t="shared" ref="D12:D16" si="4">"L" &amp; C12 &amp; "-i"</f>
        <v>LO1-i</v>
      </c>
      <c r="E12" s="3" t="s">
        <v>97</v>
      </c>
      <c r="F12" s="8" t="s">
        <v>510</v>
      </c>
      <c r="H12" s="9" t="str">
        <f t="shared" si="2"/>
        <v>grand-LO1-i</v>
      </c>
    </row>
    <row r="13">
      <c r="A13" s="7" t="s">
        <v>509</v>
      </c>
      <c r="B13" s="2" t="s">
        <v>96</v>
      </c>
      <c r="C13" s="3" t="s">
        <v>82</v>
      </c>
      <c r="D13" s="3" t="str">
        <f t="shared" si="4"/>
        <v>LO2-i</v>
      </c>
      <c r="E13" s="3" t="s">
        <v>98</v>
      </c>
      <c r="F13" s="8" t="s">
        <v>510</v>
      </c>
      <c r="H13" s="9" t="str">
        <f t="shared" si="2"/>
        <v>grand-LO2-i</v>
      </c>
    </row>
    <row r="14">
      <c r="A14" s="7" t="s">
        <v>509</v>
      </c>
      <c r="B14" s="2" t="s">
        <v>96</v>
      </c>
      <c r="C14" s="3" t="s">
        <v>84</v>
      </c>
      <c r="D14" s="3" t="str">
        <f t="shared" si="4"/>
        <v>LO3-i</v>
      </c>
      <c r="E14" s="3" t="s">
        <v>99</v>
      </c>
      <c r="F14" s="8" t="s">
        <v>510</v>
      </c>
      <c r="H14" s="9" t="str">
        <f t="shared" si="2"/>
        <v>grand-LO3-i</v>
      </c>
    </row>
    <row r="15">
      <c r="A15" s="7" t="s">
        <v>509</v>
      </c>
      <c r="B15" s="2" t="s">
        <v>96</v>
      </c>
      <c r="C15" s="3" t="s">
        <v>86</v>
      </c>
      <c r="D15" s="3" t="str">
        <f t="shared" si="4"/>
        <v>LO4-i</v>
      </c>
      <c r="E15" s="3" t="s">
        <v>100</v>
      </c>
      <c r="F15" s="8" t="s">
        <v>510</v>
      </c>
      <c r="H15" s="9" t="str">
        <f t="shared" si="2"/>
        <v>grand-LO4-i</v>
      </c>
    </row>
    <row r="16">
      <c r="A16" s="7" t="s">
        <v>509</v>
      </c>
      <c r="B16" s="2" t="s">
        <v>96</v>
      </c>
      <c r="C16" s="3" t="s">
        <v>88</v>
      </c>
      <c r="D16" s="3" t="str">
        <f t="shared" si="4"/>
        <v>LO5-i</v>
      </c>
      <c r="E16" s="3" t="s">
        <v>101</v>
      </c>
      <c r="F16" s="8" t="s">
        <v>510</v>
      </c>
      <c r="H16" s="9" t="str">
        <f t="shared" si="2"/>
        <v>grand-LO5-i</v>
      </c>
    </row>
    <row r="17">
      <c r="A17" s="7" t="s">
        <v>511</v>
      </c>
      <c r="B17" s="2" t="s">
        <v>105</v>
      </c>
      <c r="C17" s="3" t="s">
        <v>62</v>
      </c>
      <c r="D17" s="10" t="str">
        <f>IFERROR(__xludf.DUMMYFUNCTION("LET(acronym, REGEXREPLACE(B17, ""(\w)\w*\s*"", ""$1""), IF(LEN(acronym) = 1, LEFT(B17, 2), acronym) &amp; C17 &amp; ""-p"" &amp; ""-alt"")"),"LCyLCE1-p-alt")</f>
        <v>LCyLCE1-p-alt</v>
      </c>
      <c r="E17" s="3" t="s">
        <v>106</v>
      </c>
      <c r="F17" s="3" t="s">
        <v>107</v>
      </c>
      <c r="H17" s="9" t="str">
        <f t="shared" si="2"/>
        <v>grand-LCyLCE1-p-alt</v>
      </c>
    </row>
    <row r="18">
      <c r="A18" s="7" t="s">
        <v>511</v>
      </c>
      <c r="B18" s="2" t="s">
        <v>105</v>
      </c>
      <c r="C18" s="3" t="s">
        <v>64</v>
      </c>
      <c r="D18" s="10" t="str">
        <f>IFERROR(__xludf.DUMMYFUNCTION("LET(acronym, REGEXREPLACE(B18, ""(\w)\w*\s*"", ""$1""), IF(LEN(acronym) = 1, LEFT(B18, 2), acronym) &amp; C18 &amp; ""-p"" &amp; ""-alt"")"),"LCyLCE2-p-alt")</f>
        <v>LCyLCE2-p-alt</v>
      </c>
      <c r="E18" s="3" t="s">
        <v>108</v>
      </c>
      <c r="F18" s="3" t="s">
        <v>109</v>
      </c>
      <c r="H18" s="9" t="str">
        <f t="shared" si="2"/>
        <v>grand-LCyLCE2-p-alt</v>
      </c>
    </row>
    <row r="19">
      <c r="A19" s="7" t="s">
        <v>511</v>
      </c>
      <c r="B19" s="2" t="s">
        <v>105</v>
      </c>
      <c r="C19" s="3" t="s">
        <v>66</v>
      </c>
      <c r="D19" s="10" t="str">
        <f>IFERROR(__xludf.DUMMYFUNCTION("LET(acronym, REGEXREPLACE(B19, ""(\w)\w*\s*"", ""$1""), IF(LEN(acronym) = 1, LEFT(B19, 2), acronym) &amp; C19 &amp; ""-p"" &amp; ""-alt"")"),"LCyLCE3-p-alt")</f>
        <v>LCyLCE3-p-alt</v>
      </c>
      <c r="E19" s="3" t="s">
        <v>110</v>
      </c>
      <c r="F19" s="3" t="s">
        <v>111</v>
      </c>
      <c r="H19" s="9" t="str">
        <f t="shared" si="2"/>
        <v>grand-LCyLCE3-p-alt</v>
      </c>
    </row>
    <row r="20">
      <c r="A20" s="7" t="s">
        <v>511</v>
      </c>
      <c r="B20" s="2" t="s">
        <v>105</v>
      </c>
      <c r="C20" s="3" t="s">
        <v>112</v>
      </c>
      <c r="D20" s="10" t="str">
        <f>IFERROR(__xludf.DUMMYFUNCTION("LET(acronym, REGEXREPLACE(B20, ""(\w)\w*\s*"", ""$1""), IF(LEN(acronym) = 1, LEFT(B20, 2), acronym) &amp; C20 &amp; ""-p"" &amp; ""-alt"")"),"LCyLCE4-p-alt")</f>
        <v>LCyLCE4-p-alt</v>
      </c>
      <c r="E20" s="3" t="s">
        <v>113</v>
      </c>
      <c r="F20" s="3" t="s">
        <v>114</v>
      </c>
      <c r="H20" s="9" t="str">
        <f t="shared" si="2"/>
        <v>grand-LCyLCE4-p-alt</v>
      </c>
    </row>
    <row r="21">
      <c r="A21" s="7" t="s">
        <v>511</v>
      </c>
      <c r="B21" s="2" t="s">
        <v>105</v>
      </c>
      <c r="C21" s="3" t="s">
        <v>115</v>
      </c>
      <c r="D21" s="10" t="str">
        <f>IFERROR(__xludf.DUMMYFUNCTION("LET(acronym, REGEXREPLACE(B21, ""(\w)\w*\s*"", ""$1""), IF(LEN(acronym) = 1, LEFT(B21, 2), acronym) &amp; C21 &amp; ""-p"" &amp; ""-alt"")"),"LCyLCE5-p-alt")</f>
        <v>LCyLCE5-p-alt</v>
      </c>
      <c r="E21" s="3" t="s">
        <v>116</v>
      </c>
      <c r="F21" s="3" t="s">
        <v>117</v>
      </c>
      <c r="H21" s="9" t="str">
        <f t="shared" si="2"/>
        <v>grand-LCyLCE5-p-alt</v>
      </c>
    </row>
    <row r="22">
      <c r="A22" s="7" t="s">
        <v>511</v>
      </c>
      <c r="B22" s="2" t="s">
        <v>105</v>
      </c>
      <c r="C22" s="3" t="s">
        <v>118</v>
      </c>
      <c r="D22" s="10" t="str">
        <f>IFERROR(__xludf.DUMMYFUNCTION("LET(acronym, REGEXREPLACE(B22, ""(\w)\w*\s*"", ""$1""), IF(LEN(acronym) = 1, LEFT(B22, 2), acronym) &amp; C22 &amp; ""-p"" &amp; ""-alt"")"),"LCyLCE6-p-alt")</f>
        <v>LCyLCE6-p-alt</v>
      </c>
      <c r="E22" s="3" t="s">
        <v>119</v>
      </c>
      <c r="F22" s="3" t="s">
        <v>8</v>
      </c>
      <c r="H22" s="9" t="str">
        <f t="shared" si="2"/>
        <v>grand-LCyLCE6-p-alt</v>
      </c>
    </row>
    <row r="23">
      <c r="A23" s="7" t="s">
        <v>511</v>
      </c>
      <c r="B23" s="2" t="s">
        <v>105</v>
      </c>
      <c r="C23" s="3" t="s">
        <v>120</v>
      </c>
      <c r="D23" s="10" t="str">
        <f>IFERROR(__xludf.DUMMYFUNCTION("LET(acronym, REGEXREPLACE(B23, ""(\w)\w*\s*"", ""$1""), IF(LEN(acronym) = 1, LEFT(B23, 2), acronym) &amp; C23 &amp; ""-p"")"),"LCyLCE7-p")</f>
        <v>LCyLCE7-p</v>
      </c>
      <c r="E23" s="3" t="s">
        <v>121</v>
      </c>
      <c r="F23" s="3" t="s">
        <v>122</v>
      </c>
      <c r="H23" s="9" t="str">
        <f t="shared" si="2"/>
        <v>grand-LCyLCE7-p</v>
      </c>
    </row>
    <row r="24">
      <c r="A24" s="7" t="s">
        <v>511</v>
      </c>
      <c r="B24" s="2" t="s">
        <v>105</v>
      </c>
      <c r="C24" s="3" t="s">
        <v>123</v>
      </c>
      <c r="D24" s="10" t="str">
        <f>IFERROR(__xludf.DUMMYFUNCTION("LET(acronym, REGEXREPLACE(B24, ""(\w)\w*\s*"", ""$1""), IF(LEN(acronym) = 1, LEFT(B24, 2), acronym) &amp; C24 &amp; ""-p"")"),"LCyLCE8-p")</f>
        <v>LCyLCE8-p</v>
      </c>
      <c r="E24" s="3" t="s">
        <v>124</v>
      </c>
      <c r="F24" s="3" t="s">
        <v>125</v>
      </c>
      <c r="H24" s="9" t="str">
        <f t="shared" si="2"/>
        <v>grand-LCyLCE8-p</v>
      </c>
    </row>
    <row r="25">
      <c r="A25" s="7" t="s">
        <v>511</v>
      </c>
      <c r="B25" s="2" t="s">
        <v>126</v>
      </c>
      <c r="C25" s="3" t="s">
        <v>62</v>
      </c>
      <c r="D25" s="10" t="str">
        <f>IFERROR(__xludf.DUMMYFUNCTION("LET(acronym, REGEXREPLACE(B25, ""(\w)\w*\s*"", ""$1""), IF(LEN(acronym) = 1, LEFT(B25, 2), acronym) &amp; C25 &amp; ""-p"")"),"MátCE1-p")</f>
        <v>MátCE1-p</v>
      </c>
      <c r="E25" s="3" t="s">
        <v>127</v>
      </c>
      <c r="F25" s="3" t="s">
        <v>22</v>
      </c>
      <c r="H25" s="9" t="str">
        <f t="shared" si="2"/>
        <v>grand-MátCE1-p</v>
      </c>
    </row>
    <row r="26">
      <c r="A26" s="7" t="s">
        <v>511</v>
      </c>
      <c r="B26" s="2" t="s">
        <v>126</v>
      </c>
      <c r="C26" s="3" t="s">
        <v>64</v>
      </c>
      <c r="D26" s="10" t="str">
        <f>IFERROR(__xludf.DUMMYFUNCTION("LET(acronym, REGEXREPLACE(B26, ""(\w)\w*\s*"", ""$1""), IF(LEN(acronym) = 1, LEFT(B26, 2), acronym) &amp; C26 &amp; ""-p"")"),"MátCE2-p")</f>
        <v>MátCE2-p</v>
      </c>
      <c r="E26" s="3" t="s">
        <v>128</v>
      </c>
      <c r="F26" s="3" t="s">
        <v>129</v>
      </c>
      <c r="H26" s="9" t="str">
        <f t="shared" si="2"/>
        <v>grand-MátCE2-p</v>
      </c>
    </row>
    <row r="27">
      <c r="A27" s="7" t="s">
        <v>511</v>
      </c>
      <c r="B27" s="2" t="s">
        <v>126</v>
      </c>
      <c r="C27" s="3" t="s">
        <v>66</v>
      </c>
      <c r="D27" s="10" t="str">
        <f>IFERROR(__xludf.DUMMYFUNCTION("LET(acronym, REGEXREPLACE(B27, ""(\w)\w*\s*"", ""$1""), IF(LEN(acronym) = 1, LEFT(B27, 2), acronym) &amp; C27 &amp; ""-p"")"),"MátCE3-p")</f>
        <v>MátCE3-p</v>
      </c>
      <c r="E27" s="3" t="s">
        <v>130</v>
      </c>
      <c r="F27" s="3" t="s">
        <v>22</v>
      </c>
      <c r="H27" s="9" t="str">
        <f t="shared" si="2"/>
        <v>grand-MátCE3-p</v>
      </c>
    </row>
    <row r="28">
      <c r="A28" s="7" t="s">
        <v>511</v>
      </c>
      <c r="B28" s="2" t="s">
        <v>126</v>
      </c>
      <c r="C28" s="3" t="s">
        <v>112</v>
      </c>
      <c r="D28" s="10" t="str">
        <f>IFERROR(__xludf.DUMMYFUNCTION("LET(acronym, REGEXREPLACE(B28, ""(\w)\w*\s*"", ""$1""), IF(LEN(acronym) = 1, LEFT(B28, 2), acronym) &amp; C28 &amp; ""-p"")"),"MátCE4-p")</f>
        <v>MátCE4-p</v>
      </c>
      <c r="E28" s="3" t="s">
        <v>131</v>
      </c>
      <c r="F28" s="3" t="s">
        <v>132</v>
      </c>
      <c r="H28" s="9" t="str">
        <f t="shared" si="2"/>
        <v>grand-MátCE4-p</v>
      </c>
    </row>
    <row r="29">
      <c r="A29" s="7" t="s">
        <v>511</v>
      </c>
      <c r="B29" s="2" t="s">
        <v>126</v>
      </c>
      <c r="C29" s="3" t="s">
        <v>115</v>
      </c>
      <c r="D29" s="10" t="str">
        <f>IFERROR(__xludf.DUMMYFUNCTION("LET(acronym, REGEXREPLACE(B29, ""(\w)\w*\s*"", ""$1""), IF(LEN(acronym) = 1, LEFT(B29, 2), acronym) &amp; C29 &amp; ""-p"")"),"MátCE5-p")</f>
        <v>MátCE5-p</v>
      </c>
      <c r="E29" s="3" t="s">
        <v>133</v>
      </c>
      <c r="F29" s="3" t="s">
        <v>134</v>
      </c>
      <c r="H29" s="9" t="str">
        <f t="shared" si="2"/>
        <v>grand-MátCE5-p</v>
      </c>
    </row>
    <row r="30">
      <c r="A30" s="7" t="s">
        <v>511</v>
      </c>
      <c r="B30" s="2" t="s">
        <v>126</v>
      </c>
      <c r="C30" s="3" t="s">
        <v>118</v>
      </c>
      <c r="D30" s="10" t="str">
        <f>IFERROR(__xludf.DUMMYFUNCTION("LET(acronym, REGEXREPLACE(B30, ""(\w)\w*\s*"", ""$1""), IF(LEN(acronym) = 1, LEFT(B30, 2), acronym) &amp; C30 &amp; ""-p"")"),"MátCE6-p")</f>
        <v>MátCE6-p</v>
      </c>
      <c r="E30" s="3" t="s">
        <v>135</v>
      </c>
      <c r="F30" s="3" t="s">
        <v>136</v>
      </c>
      <c r="H30" s="9" t="str">
        <f t="shared" si="2"/>
        <v>grand-MátCE6-p</v>
      </c>
    </row>
    <row r="31">
      <c r="A31" s="7" t="s">
        <v>511</v>
      </c>
      <c r="B31" s="2" t="s">
        <v>137</v>
      </c>
      <c r="C31" s="3" t="s">
        <v>62</v>
      </c>
      <c r="D31" s="10" t="str">
        <f>IFERROR(__xludf.DUMMYFUNCTION("LET(acronym, REGEXREPLACE(B31, ""(\w)\w*\s*"", ""$1""), IF(LEN(acronym) = 1, LEFT(B31, 2), acronym) &amp; C31 &amp; ""-p"")"),"CdlNCE1-p")</f>
        <v>CdlNCE1-p</v>
      </c>
      <c r="E31" s="3" t="s">
        <v>138</v>
      </c>
      <c r="F31" s="3" t="s">
        <v>139</v>
      </c>
      <c r="H31" s="9" t="str">
        <f t="shared" si="2"/>
        <v>grand-CdlNCE1-p</v>
      </c>
    </row>
    <row r="32">
      <c r="A32" s="7" t="s">
        <v>511</v>
      </c>
      <c r="B32" s="2" t="s">
        <v>137</v>
      </c>
      <c r="C32" s="3" t="s">
        <v>64</v>
      </c>
      <c r="D32" s="10" t="str">
        <f>IFERROR(__xludf.DUMMYFUNCTION("LET(acronym, REGEXREPLACE(B32, ""(\w)\w*\s*"", ""$1""), IF(LEN(acronym) = 1, LEFT(B32, 2), acronym) &amp; C32 &amp; ""-p"")"),"CdlNCE2-p")</f>
        <v>CdlNCE2-p</v>
      </c>
      <c r="E32" s="3" t="s">
        <v>140</v>
      </c>
      <c r="F32" s="3" t="s">
        <v>141</v>
      </c>
      <c r="H32" s="9" t="str">
        <f t="shared" si="2"/>
        <v>grand-CdlNCE2-p</v>
      </c>
    </row>
    <row r="33">
      <c r="A33" s="7" t="s">
        <v>511</v>
      </c>
      <c r="B33" s="2" t="s">
        <v>137</v>
      </c>
      <c r="C33" s="3" t="s">
        <v>66</v>
      </c>
      <c r="D33" s="10" t="str">
        <f>IFERROR(__xludf.DUMMYFUNCTION("LET(acronym, REGEXREPLACE(B33, ""(\w)\w*\s*"", ""$1""), IF(LEN(acronym) = 1, LEFT(B33, 2), acronym) &amp; C33 &amp; ""-p"")"),"CdlNCE3-p")</f>
        <v>CdlNCE3-p</v>
      </c>
      <c r="E33" s="3" t="s">
        <v>142</v>
      </c>
      <c r="F33" s="3" t="s">
        <v>24</v>
      </c>
      <c r="H33" s="9" t="str">
        <f t="shared" si="2"/>
        <v>grand-CdlNCE3-p</v>
      </c>
    </row>
    <row r="34">
      <c r="A34" s="7" t="s">
        <v>511</v>
      </c>
      <c r="B34" s="2" t="s">
        <v>137</v>
      </c>
      <c r="C34" s="3" t="s">
        <v>112</v>
      </c>
      <c r="D34" s="10" t="str">
        <f>IFERROR(__xludf.DUMMYFUNCTION("LET(acronym, REGEXREPLACE(B34, ""(\w)\w*\s*"", ""$1""), IF(LEN(acronym) = 1, LEFT(B34, 2), acronym) &amp; C34 &amp; ""-p"")"),"CdlNCE4-p")</f>
        <v>CdlNCE4-p</v>
      </c>
      <c r="E34" s="3" t="s">
        <v>143</v>
      </c>
      <c r="F34" s="3" t="s">
        <v>144</v>
      </c>
      <c r="H34" s="9" t="str">
        <f t="shared" si="2"/>
        <v>grand-CdlNCE4-p</v>
      </c>
    </row>
    <row r="35">
      <c r="A35" s="7" t="s">
        <v>511</v>
      </c>
      <c r="B35" s="2" t="s">
        <v>137</v>
      </c>
      <c r="C35" s="3" t="s">
        <v>115</v>
      </c>
      <c r="D35" s="10" t="str">
        <f>IFERROR(__xludf.DUMMYFUNCTION("LET(acronym, REGEXREPLACE(B35, ""(\w)\w*\s*"", ""$1""), IF(LEN(acronym) = 1, LEFT(B35, 2), acronym) &amp; C35 &amp; ""-p"")"),"CdlNCE5-p")</f>
        <v>CdlNCE5-p</v>
      </c>
      <c r="E35" s="3" t="s">
        <v>145</v>
      </c>
      <c r="F35" s="3" t="s">
        <v>146</v>
      </c>
      <c r="H35" s="9" t="str">
        <f t="shared" si="2"/>
        <v>grand-CdlNCE5-p</v>
      </c>
    </row>
    <row r="36">
      <c r="A36" s="7" t="s">
        <v>511</v>
      </c>
      <c r="B36" s="2" t="s">
        <v>137</v>
      </c>
      <c r="C36" s="3" t="s">
        <v>118</v>
      </c>
      <c r="D36" s="10" t="str">
        <f>IFERROR(__xludf.DUMMYFUNCTION("LET(acronym, REGEXREPLACE(B36, ""(\w)\w*\s*"", ""$1""), IF(LEN(acronym) = 1, LEFT(B36, 2), acronym) &amp; C36 &amp; ""-p"")"),"CdlNCE6-p")</f>
        <v>CdlNCE6-p</v>
      </c>
      <c r="E36" s="3" t="s">
        <v>147</v>
      </c>
      <c r="F36" s="3" t="s">
        <v>148</v>
      </c>
      <c r="H36" s="9" t="str">
        <f t="shared" si="2"/>
        <v>grand-CdlNCE6-p</v>
      </c>
    </row>
    <row r="37">
      <c r="A37" s="7" t="s">
        <v>511</v>
      </c>
      <c r="B37" s="2" t="s">
        <v>149</v>
      </c>
      <c r="C37" s="3" t="s">
        <v>62</v>
      </c>
      <c r="D37" s="10" t="str">
        <f>IFERROR(__xludf.DUMMYFUNCTION("LET(acronym, REGEXREPLACE(B37, ""(\w)\w*\s*"", ""$1""), IF(LEN(acronym) = 1, LEFT(B37, 2), acronym) &amp; C37 &amp; ""-p"")"),"CSCE1-p")</f>
        <v>CSCE1-p</v>
      </c>
      <c r="E37" s="3" t="s">
        <v>150</v>
      </c>
      <c r="F37" s="3" t="s">
        <v>151</v>
      </c>
      <c r="H37" s="9" t="str">
        <f t="shared" si="2"/>
        <v>grand-CSCE1-p</v>
      </c>
    </row>
    <row r="38">
      <c r="A38" s="7" t="s">
        <v>511</v>
      </c>
      <c r="B38" s="2" t="s">
        <v>149</v>
      </c>
      <c r="C38" s="3" t="s">
        <v>64</v>
      </c>
      <c r="D38" s="10" t="str">
        <f>IFERROR(__xludf.DUMMYFUNCTION("LET(acronym, REGEXREPLACE(B38, ""(\w)\w*\s*"", ""$1""), IF(LEN(acronym) = 1, LEFT(B38, 2), acronym) &amp; C38 &amp; ""-p"")"),"CSCE2-p")</f>
        <v>CSCE2-p</v>
      </c>
      <c r="E38" s="3" t="s">
        <v>152</v>
      </c>
      <c r="F38" s="3" t="s">
        <v>129</v>
      </c>
      <c r="H38" s="9" t="str">
        <f t="shared" si="2"/>
        <v>grand-CSCE2-p</v>
      </c>
    </row>
    <row r="39">
      <c r="A39" s="7" t="s">
        <v>511</v>
      </c>
      <c r="B39" s="2" t="s">
        <v>149</v>
      </c>
      <c r="C39" s="3" t="s">
        <v>66</v>
      </c>
      <c r="D39" s="10" t="str">
        <f>IFERROR(__xludf.DUMMYFUNCTION("LET(acronym, REGEXREPLACE(B39, ""(\w)\w*\s*"", ""$1""), IF(LEN(acronym) = 1, LEFT(B39, 2), acronym) &amp; C39 &amp; ""-p"")"),"CSCE3-p")</f>
        <v>CSCE3-p</v>
      </c>
      <c r="E39" s="3" t="s">
        <v>153</v>
      </c>
      <c r="F39" s="3" t="s">
        <v>154</v>
      </c>
      <c r="H39" s="9" t="str">
        <f t="shared" si="2"/>
        <v>grand-CSCE3-p</v>
      </c>
    </row>
    <row r="40">
      <c r="A40" s="7" t="s">
        <v>511</v>
      </c>
      <c r="B40" s="2" t="s">
        <v>149</v>
      </c>
      <c r="C40" s="3" t="s">
        <v>112</v>
      </c>
      <c r="D40" s="10" t="str">
        <f>IFERROR(__xludf.DUMMYFUNCTION("LET(acronym, REGEXREPLACE(B40, ""(\w)\w*\s*"", ""$1""), IF(LEN(acronym) = 1, LEFT(B40, 2), acronym) &amp; C40 &amp; ""-p"")"),"CSCE4-p")</f>
        <v>CSCE4-p</v>
      </c>
      <c r="E40" s="3" t="s">
        <v>155</v>
      </c>
      <c r="F40" s="3" t="s">
        <v>156</v>
      </c>
      <c r="H40" s="9" t="str">
        <f t="shared" si="2"/>
        <v>grand-CSCE4-p</v>
      </c>
    </row>
    <row r="41">
      <c r="A41" s="7" t="s">
        <v>511</v>
      </c>
      <c r="B41" s="2" t="s">
        <v>149</v>
      </c>
      <c r="C41" s="3" t="s">
        <v>115</v>
      </c>
      <c r="D41" s="10" t="str">
        <f>IFERROR(__xludf.DUMMYFUNCTION("LET(acronym, REGEXREPLACE(B41, ""(\w)\w*\s*"", ""$1""), IF(LEN(acronym) = 1, LEFT(B41, 2), acronym) &amp; C41 &amp; ""-p"")"),"CSCE5-p")</f>
        <v>CSCE5-p</v>
      </c>
      <c r="E41" s="3" t="s">
        <v>157</v>
      </c>
      <c r="F41" s="3" t="s">
        <v>158</v>
      </c>
      <c r="H41" s="9" t="str">
        <f t="shared" si="2"/>
        <v>grand-CSCE5-p</v>
      </c>
    </row>
    <row r="42">
      <c r="A42" s="7" t="s">
        <v>511</v>
      </c>
      <c r="B42" s="2" t="s">
        <v>149</v>
      </c>
      <c r="C42" s="3" t="s">
        <v>118</v>
      </c>
      <c r="D42" s="10" t="str">
        <f>IFERROR(__xludf.DUMMYFUNCTION("LET(acronym, REGEXREPLACE(B42, ""(\w)\w*\s*"", ""$1""), IF(LEN(acronym) = 1, LEFT(B42, 2), acronym) &amp; C42 &amp; ""-p"")"),"CSCE6-p")</f>
        <v>CSCE6-p</v>
      </c>
      <c r="E42" s="3" t="s">
        <v>159</v>
      </c>
      <c r="F42" s="3" t="s">
        <v>148</v>
      </c>
      <c r="H42" s="9" t="str">
        <f t="shared" si="2"/>
        <v>grand-CSCE6-p</v>
      </c>
    </row>
    <row r="43">
      <c r="A43" s="7" t="s">
        <v>511</v>
      </c>
      <c r="B43" s="2" t="s">
        <v>160</v>
      </c>
      <c r="C43" s="3" t="s">
        <v>62</v>
      </c>
      <c r="D43" s="10" t="str">
        <f>IFERROR(__xludf.DUMMYFUNCTION("LET(acronym, REGEXREPLACE(B43, ""(\w)\w*\s*"", ""$1""), IF(LEN(acronym) = 1, LEFT(B43, 2), acronym) &amp; C43 &amp; ""-p"")"),"LECE1-p")</f>
        <v>LECE1-p</v>
      </c>
      <c r="E43" s="3" t="s">
        <v>161</v>
      </c>
      <c r="F43" s="3" t="s">
        <v>162</v>
      </c>
      <c r="H43" s="9" t="str">
        <f t="shared" si="2"/>
        <v>grand-LECE1-p</v>
      </c>
    </row>
    <row r="44">
      <c r="A44" s="7" t="s">
        <v>511</v>
      </c>
      <c r="B44" s="2" t="s">
        <v>160</v>
      </c>
      <c r="C44" s="3" t="s">
        <v>64</v>
      </c>
      <c r="D44" s="10" t="str">
        <f>IFERROR(__xludf.DUMMYFUNCTION("LET(acronym, REGEXREPLACE(B44, ""(\w)\w*\s*"", ""$1""), IF(LEN(acronym) = 1, LEFT(B44, 2), acronym) &amp; C44 &amp; ""-p"")"),"LECE2-p")</f>
        <v>LECE2-p</v>
      </c>
      <c r="E44" s="3" t="s">
        <v>163</v>
      </c>
      <c r="F44" s="3" t="s">
        <v>164</v>
      </c>
      <c r="H44" s="9" t="str">
        <f t="shared" si="2"/>
        <v>grand-LECE2-p</v>
      </c>
    </row>
    <row r="45">
      <c r="A45" s="7" t="s">
        <v>511</v>
      </c>
      <c r="B45" s="2" t="s">
        <v>160</v>
      </c>
      <c r="C45" s="3" t="s">
        <v>66</v>
      </c>
      <c r="D45" s="10" t="str">
        <f>IFERROR(__xludf.DUMMYFUNCTION("LET(acronym, REGEXREPLACE(B45, ""(\w)\w*\s*"", ""$1""), IF(LEN(acronym) = 1, LEFT(B45, 2), acronym) &amp; C45 &amp; ""-p"")"),"LECE3-p")</f>
        <v>LECE3-p</v>
      </c>
      <c r="E45" s="3" t="s">
        <v>165</v>
      </c>
      <c r="F45" s="3" t="s">
        <v>162</v>
      </c>
      <c r="H45" s="9" t="str">
        <f t="shared" si="2"/>
        <v>grand-LECE3-p</v>
      </c>
    </row>
    <row r="46">
      <c r="A46" s="7" t="s">
        <v>511</v>
      </c>
      <c r="B46" s="2" t="s">
        <v>160</v>
      </c>
      <c r="C46" s="3" t="s">
        <v>112</v>
      </c>
      <c r="D46" s="10" t="str">
        <f>IFERROR(__xludf.DUMMYFUNCTION("LET(acronym, REGEXREPLACE(B46, ""(\w)\w*\s*"", ""$1""), IF(LEN(acronym) = 1, LEFT(B46, 2), acronym) &amp; C46 &amp; ""-p"")"),"LECE4-p")</f>
        <v>LECE4-p</v>
      </c>
      <c r="E46" s="3" t="s">
        <v>166</v>
      </c>
      <c r="F46" s="3" t="s">
        <v>164</v>
      </c>
      <c r="H46" s="9" t="str">
        <f t="shared" si="2"/>
        <v>grand-LECE4-p</v>
      </c>
    </row>
    <row r="47">
      <c r="A47" s="7" t="s">
        <v>511</v>
      </c>
      <c r="B47" s="2" t="s">
        <v>160</v>
      </c>
      <c r="C47" s="3" t="s">
        <v>115</v>
      </c>
      <c r="D47" s="10" t="str">
        <f>IFERROR(__xludf.DUMMYFUNCTION("LET(acronym, REGEXREPLACE(B47, ""(\w)\w*\s*"", ""$1""), IF(LEN(acronym) = 1, LEFT(B47, 2), acronym) &amp; C47 &amp; ""-p"")"),"LECE5-p")</f>
        <v>LECE5-p</v>
      </c>
      <c r="E47" s="3" t="s">
        <v>167</v>
      </c>
      <c r="F47" s="3" t="s">
        <v>168</v>
      </c>
      <c r="H47" s="9" t="str">
        <f t="shared" si="2"/>
        <v>grand-LECE5-p</v>
      </c>
    </row>
    <row r="48">
      <c r="A48" s="7" t="s">
        <v>511</v>
      </c>
      <c r="B48" s="2" t="s">
        <v>160</v>
      </c>
      <c r="C48" s="3" t="s">
        <v>118</v>
      </c>
      <c r="D48" s="10" t="str">
        <f>IFERROR(__xludf.DUMMYFUNCTION("LET(acronym, REGEXREPLACE(B48, ""(\w)\w*\s*"", ""$1""), IF(LEN(acronym) = 1, LEFT(B48, 2), acronym) &amp; C48 &amp; ""-p"")"),"LECE6-p")</f>
        <v>LECE6-p</v>
      </c>
      <c r="E48" s="3" t="s">
        <v>169</v>
      </c>
      <c r="F48" s="3" t="s">
        <v>170</v>
      </c>
      <c r="H48" s="9" t="str">
        <f t="shared" si="2"/>
        <v>grand-LECE6-p</v>
      </c>
    </row>
    <row r="49">
      <c r="A49" s="7" t="s">
        <v>511</v>
      </c>
      <c r="B49" s="2" t="s">
        <v>171</v>
      </c>
      <c r="C49" s="3" t="s">
        <v>62</v>
      </c>
      <c r="D49" s="10" t="str">
        <f>IFERROR(__xludf.DUMMYFUNCTION("LET(acronym, REGEXREPLACE(B49, ""(\w)\w*\s*"", ""$1""), IF(LEN(acronym) = 1, LEFT(B49, 2), acronym) &amp; C49 &amp; ""-p"")"),"EónAísCE1-p")</f>
        <v>EónAísCE1-p</v>
      </c>
      <c r="E49" s="3" t="s">
        <v>172</v>
      </c>
      <c r="F49" s="3" t="s">
        <v>173</v>
      </c>
      <c r="H49" s="9" t="str">
        <f t="shared" si="2"/>
        <v>grand-EónAísCE1-p</v>
      </c>
    </row>
    <row r="50">
      <c r="A50" s="7" t="s">
        <v>511</v>
      </c>
      <c r="B50" s="2" t="s">
        <v>171</v>
      </c>
      <c r="C50" s="3" t="s">
        <v>64</v>
      </c>
      <c r="D50" s="10" t="str">
        <f>IFERROR(__xludf.DUMMYFUNCTION("LET(acronym, REGEXREPLACE(B50, ""(\w)\w*\s*"", ""$1""), IF(LEN(acronym) = 1, LEFT(B50, 2), acronym) &amp; C50 &amp; ""-p"")"),"EónAísCE2-p")</f>
        <v>EónAísCE2-p</v>
      </c>
      <c r="E50" s="3" t="s">
        <v>174</v>
      </c>
      <c r="F50" s="3" t="s">
        <v>175</v>
      </c>
      <c r="H50" s="9" t="str">
        <f t="shared" si="2"/>
        <v>grand-EónAísCE2-p</v>
      </c>
    </row>
    <row r="51">
      <c r="A51" s="7" t="s">
        <v>511</v>
      </c>
      <c r="B51" s="2" t="s">
        <v>171</v>
      </c>
      <c r="C51" s="3" t="s">
        <v>66</v>
      </c>
      <c r="D51" s="10" t="str">
        <f>IFERROR(__xludf.DUMMYFUNCTION("LET(acronym, REGEXREPLACE(B51, ""(\w)\w*\s*"", ""$1""), IF(LEN(acronym) = 1, LEFT(B51, 2), acronym) &amp; C51 &amp; ""-p"")"),"EónAísCE3-p")</f>
        <v>EónAísCE3-p</v>
      </c>
      <c r="E51" s="3" t="s">
        <v>176</v>
      </c>
      <c r="F51" s="3" t="s">
        <v>156</v>
      </c>
      <c r="H51" s="9" t="str">
        <f t="shared" si="2"/>
        <v>grand-EónAísCE3-p</v>
      </c>
    </row>
    <row r="52">
      <c r="A52" s="7" t="s">
        <v>511</v>
      </c>
      <c r="B52" s="2" t="s">
        <v>171</v>
      </c>
      <c r="C52" s="3" t="s">
        <v>112</v>
      </c>
      <c r="D52" s="10" t="str">
        <f>IFERROR(__xludf.DUMMYFUNCTION("LET(acronym, REGEXREPLACE(B52, ""(\w)\w*\s*"", ""$1""), IF(LEN(acronym) = 1, LEFT(B52, 2), acronym) &amp; C52 &amp; ""-p"")"),"EónAísCE4-p")</f>
        <v>EónAísCE4-p</v>
      </c>
      <c r="E52" s="3" t="s">
        <v>177</v>
      </c>
      <c r="F52" s="3" t="s">
        <v>178</v>
      </c>
      <c r="H52" s="9" t="str">
        <f t="shared" si="2"/>
        <v>grand-EónAísCE4-p</v>
      </c>
    </row>
    <row r="53">
      <c r="A53" s="7" t="s">
        <v>511</v>
      </c>
      <c r="B53" s="2" t="s">
        <v>171</v>
      </c>
      <c r="C53" s="3" t="s">
        <v>115</v>
      </c>
      <c r="D53" s="10" t="str">
        <f>IFERROR(__xludf.DUMMYFUNCTION("LET(acronym, REGEXREPLACE(B53, ""(\w)\w*\s*"", ""$1""), IF(LEN(acronym) = 1, LEFT(B53, 2), acronym) &amp; C53 &amp; ""-p"")"),"EónAísCE5-p")</f>
        <v>EónAísCE5-p</v>
      </c>
      <c r="E53" s="3" t="s">
        <v>179</v>
      </c>
      <c r="F53" s="3" t="s">
        <v>180</v>
      </c>
      <c r="H53" s="9" t="str">
        <f t="shared" si="2"/>
        <v>grand-EónAísCE5-p</v>
      </c>
    </row>
    <row r="54">
      <c r="A54" s="7" t="s">
        <v>511</v>
      </c>
      <c r="B54" s="2" t="s">
        <v>181</v>
      </c>
      <c r="C54" s="3" t="s">
        <v>62</v>
      </c>
      <c r="D54" s="10" t="str">
        <f>IFERROR(__xludf.DUMMYFUNCTION("LET(acronym, REGEXREPLACE(B54, ""(\w)\w*\s*"", ""$1""), IF(LEN(acronym) = 1, LEFT(B54, 2), acronym) &amp; C54 &amp; ""-p"")"),"EónFísCE1-p")</f>
        <v>EónFísCE1-p</v>
      </c>
      <c r="E54" s="3" t="s">
        <v>182</v>
      </c>
      <c r="F54" s="3" t="s">
        <v>144</v>
      </c>
      <c r="H54" s="9" t="str">
        <f t="shared" si="2"/>
        <v>grand-EónFísCE1-p</v>
      </c>
    </row>
    <row r="55">
      <c r="A55" s="7" t="s">
        <v>511</v>
      </c>
      <c r="B55" s="2" t="s">
        <v>181</v>
      </c>
      <c r="C55" s="3" t="s">
        <v>64</v>
      </c>
      <c r="D55" s="10" t="str">
        <f>IFERROR(__xludf.DUMMYFUNCTION("LET(acronym, REGEXREPLACE(B55, ""(\w)\w*\s*"", ""$1""), IF(LEN(acronym) = 1, LEFT(B55, 2), acronym) &amp; C55 &amp; ""-p"")"),"EónFísCE2-p")</f>
        <v>EónFísCE2-p</v>
      </c>
      <c r="E55" s="3" t="s">
        <v>183</v>
      </c>
      <c r="F55" s="3" t="s">
        <v>184</v>
      </c>
      <c r="H55" s="9" t="str">
        <f t="shared" si="2"/>
        <v>grand-EónFísCE2-p</v>
      </c>
    </row>
    <row r="56">
      <c r="A56" s="7" t="s">
        <v>511</v>
      </c>
      <c r="B56" s="2" t="s">
        <v>181</v>
      </c>
      <c r="C56" s="3" t="s">
        <v>66</v>
      </c>
      <c r="D56" s="10" t="str">
        <f>IFERROR(__xludf.DUMMYFUNCTION("LET(acronym, REGEXREPLACE(B56, ""(\w)\w*\s*"", ""$1""), IF(LEN(acronym) = 1, LEFT(B56, 2), acronym) &amp; C56 &amp; ""-p"")"),"EónFísCE3-p")</f>
        <v>EónFísCE3-p</v>
      </c>
      <c r="E56" s="3" t="s">
        <v>185</v>
      </c>
      <c r="F56" s="3" t="s">
        <v>144</v>
      </c>
      <c r="H56" s="9" t="str">
        <f t="shared" si="2"/>
        <v>grand-EónFísCE3-p</v>
      </c>
    </row>
    <row r="57">
      <c r="A57" s="7" t="s">
        <v>511</v>
      </c>
      <c r="B57" s="2" t="s">
        <v>181</v>
      </c>
      <c r="C57" s="3" t="s">
        <v>112</v>
      </c>
      <c r="D57" s="10" t="str">
        <f>IFERROR(__xludf.DUMMYFUNCTION("LET(acronym, REGEXREPLACE(B57, ""(\w)\w*\s*"", ""$1""), IF(LEN(acronym) = 1, LEFT(B57, 2), acronym) &amp; C57 &amp; ""-p"")"),"EónFísCE4-p")</f>
        <v>EónFísCE4-p</v>
      </c>
      <c r="E57" s="3" t="s">
        <v>186</v>
      </c>
      <c r="F57" s="3" t="s">
        <v>187</v>
      </c>
      <c r="H57" s="9" t="str">
        <f t="shared" si="2"/>
        <v>grand-EónFísCE4-p</v>
      </c>
    </row>
    <row r="58">
      <c r="A58" s="7" t="s">
        <v>511</v>
      </c>
      <c r="B58" s="2" t="s">
        <v>181</v>
      </c>
      <c r="C58" s="3" t="s">
        <v>115</v>
      </c>
      <c r="D58" s="10" t="str">
        <f>IFERROR(__xludf.DUMMYFUNCTION("LET(acronym, REGEXREPLACE(B58, ""(\w)\w*\s*"", ""$1""), IF(LEN(acronym) = 1, LEFT(B58, 2), acronym) &amp; C58 &amp; ""-p"")"),"EónFísCE5-p")</f>
        <v>EónFísCE5-p</v>
      </c>
      <c r="E58" s="3" t="s">
        <v>188</v>
      </c>
      <c r="F58" s="3" t="s">
        <v>189</v>
      </c>
      <c r="H58" s="9" t="str">
        <f t="shared" si="2"/>
        <v>grand-EónFísCE5-p</v>
      </c>
    </row>
    <row r="59">
      <c r="A59" s="7" t="s">
        <v>511</v>
      </c>
      <c r="B59" s="2" t="s">
        <v>190</v>
      </c>
      <c r="C59" s="3" t="s">
        <v>62</v>
      </c>
      <c r="D59" s="10" t="str">
        <f>IFERROR(__xludf.DUMMYFUNCTION("LET(acronym, REGEXREPLACE(B59, ""(\w)\w*\s*"", ""$1""), IF(LEN(acronym) = 1, LEFT(B59, 2), acronym) &amp; C59 &amp; ""-p"")"),"VCívyÉtCE1-p")</f>
        <v>VCívyÉtCE1-p</v>
      </c>
      <c r="E59" s="3" t="s">
        <v>191</v>
      </c>
      <c r="F59" s="3" t="s">
        <v>154</v>
      </c>
      <c r="H59" s="9" t="str">
        <f t="shared" si="2"/>
        <v>grand-VCívyÉtCE1-p</v>
      </c>
    </row>
    <row r="60">
      <c r="A60" s="7" t="s">
        <v>511</v>
      </c>
      <c r="B60" s="2" t="s">
        <v>190</v>
      </c>
      <c r="C60" s="3" t="s">
        <v>64</v>
      </c>
      <c r="D60" s="10" t="str">
        <f>IFERROR(__xludf.DUMMYFUNCTION("LET(acronym, REGEXREPLACE(B60, ""(\w)\w*\s*"", ""$1""), IF(LEN(acronym) = 1, LEFT(B60, 2), acronym) &amp; C60 &amp; ""-p"")"),"VCívyÉtCE2-p")</f>
        <v>VCívyÉtCE2-p</v>
      </c>
      <c r="E60" s="3" t="s">
        <v>192</v>
      </c>
      <c r="F60" s="3" t="s">
        <v>154</v>
      </c>
      <c r="H60" s="9" t="str">
        <f t="shared" si="2"/>
        <v>grand-VCívyÉtCE2-p</v>
      </c>
    </row>
    <row r="61">
      <c r="A61" s="7" t="s">
        <v>511</v>
      </c>
      <c r="B61" s="2" t="s">
        <v>190</v>
      </c>
      <c r="C61" s="3" t="s">
        <v>66</v>
      </c>
      <c r="D61" s="10" t="str">
        <f>IFERROR(__xludf.DUMMYFUNCTION("LET(acronym, REGEXREPLACE(B61, ""(\w)\w*\s*"", ""$1""), IF(LEN(acronym) = 1, LEFT(B61, 2), acronym) &amp; C61 &amp; ""-p"")"),"VCívyÉtCE3-p")</f>
        <v>VCívyÉtCE3-p</v>
      </c>
      <c r="E61" s="3" t="s">
        <v>193</v>
      </c>
      <c r="F61" s="3" t="s">
        <v>184</v>
      </c>
      <c r="H61" s="9" t="str">
        <f t="shared" si="2"/>
        <v>grand-VCívyÉtCE3-p</v>
      </c>
    </row>
    <row r="62">
      <c r="A62" s="7" t="s">
        <v>511</v>
      </c>
      <c r="B62" s="2" t="s">
        <v>190</v>
      </c>
      <c r="C62" s="3" t="s">
        <v>112</v>
      </c>
      <c r="D62" s="10" t="str">
        <f>IFERROR(__xludf.DUMMYFUNCTION("LET(acronym, REGEXREPLACE(B62, ""(\w)\w*\s*"", ""$1""), IF(LEN(acronym) = 1, LEFT(B62, 2), acronym) &amp; C62 &amp; ""-p"")"),"VCívyÉtCE4-p")</f>
        <v>VCívyÉtCE4-p</v>
      </c>
      <c r="E62" s="3" t="s">
        <v>194</v>
      </c>
      <c r="F62" s="3" t="s">
        <v>195</v>
      </c>
      <c r="H62" s="9" t="str">
        <f t="shared" si="2"/>
        <v>grand-VCívyÉtCE4-p</v>
      </c>
    </row>
    <row r="63">
      <c r="A63" s="7" t="s">
        <v>511</v>
      </c>
      <c r="B63" s="2" t="s">
        <v>190</v>
      </c>
      <c r="C63" s="3" t="s">
        <v>115</v>
      </c>
      <c r="D63" s="10" t="str">
        <f>IFERROR(__xludf.DUMMYFUNCTION("LET(acronym, REGEXREPLACE(B63, ""(\w)\w*\s*"", ""$1""), IF(LEN(acronym) = 1, LEFT(B63, 2), acronym) &amp; C63 &amp; ""-p"")"),"VCívyÉtCE5-p")</f>
        <v>VCívyÉtCE5-p</v>
      </c>
      <c r="E63" s="3" t="s">
        <v>196</v>
      </c>
      <c r="F63" s="3" t="s">
        <v>146</v>
      </c>
      <c r="H63" s="9" t="str">
        <f t="shared" si="2"/>
        <v>grand-VCívyÉtCE5-p</v>
      </c>
    </row>
    <row r="64">
      <c r="A64" s="7" t="s">
        <v>511</v>
      </c>
      <c r="B64" s="2" t="s">
        <v>197</v>
      </c>
      <c r="C64" s="3" t="s">
        <v>62</v>
      </c>
      <c r="D64" s="10" t="str">
        <f>IFERROR(__xludf.DUMMYFUNCTION("LET(acronym, REGEXREPLACE(B64, ""(\w)\w*\s*"", ""$1""), IF(LEN(acronym) = 1, LEFT(B64, 2), acronym) &amp; C64 &amp; ""-p"")"),"LCyLCE1-p")</f>
        <v>LCyLCE1-p</v>
      </c>
      <c r="E64" s="3" t="s">
        <v>198</v>
      </c>
      <c r="F64" s="3" t="s">
        <v>199</v>
      </c>
      <c r="H64" s="9" t="str">
        <f t="shared" si="2"/>
        <v>grand-LCyLCE1-p</v>
      </c>
    </row>
    <row r="65">
      <c r="A65" s="7" t="s">
        <v>511</v>
      </c>
      <c r="B65" s="2" t="s">
        <v>197</v>
      </c>
      <c r="C65" s="3" t="s">
        <v>64</v>
      </c>
      <c r="D65" s="10" t="str">
        <f>IFERROR(__xludf.DUMMYFUNCTION("LET(acronym, REGEXREPLACE(B65, ""(\w)\w*\s*"", ""$1""), IF(LEN(acronym) = 1, LEFT(B65, 2), acronym) &amp; C65 &amp; ""-p"")"),"LCyLCE2-p")</f>
        <v>LCyLCE2-p</v>
      </c>
      <c r="E65" s="3" t="s">
        <v>200</v>
      </c>
      <c r="F65" s="3" t="s">
        <v>201</v>
      </c>
      <c r="H65" s="9" t="str">
        <f t="shared" si="2"/>
        <v>grand-LCyLCE2-p</v>
      </c>
    </row>
    <row r="66">
      <c r="A66" s="7" t="s">
        <v>511</v>
      </c>
      <c r="B66" s="2" t="s">
        <v>197</v>
      </c>
      <c r="C66" s="3" t="s">
        <v>66</v>
      </c>
      <c r="D66" s="10" t="str">
        <f>IFERROR(__xludf.DUMMYFUNCTION("LET(acronym, REGEXREPLACE(B66, ""(\w)\w*\s*"", ""$1""), IF(LEN(acronym) = 1, LEFT(B66, 2), acronym) &amp; C66 &amp; ""-p"")"),"LCyLCE3-p")</f>
        <v>LCyLCE3-p</v>
      </c>
      <c r="E66" s="3" t="s">
        <v>202</v>
      </c>
      <c r="F66" s="3" t="s">
        <v>199</v>
      </c>
      <c r="H66" s="9" t="str">
        <f t="shared" si="2"/>
        <v>grand-LCyLCE3-p</v>
      </c>
    </row>
    <row r="67">
      <c r="A67" s="7" t="s">
        <v>511</v>
      </c>
      <c r="B67" s="2" t="s">
        <v>197</v>
      </c>
      <c r="C67" s="3" t="s">
        <v>112</v>
      </c>
      <c r="D67" s="10" t="str">
        <f>IFERROR(__xludf.DUMMYFUNCTION("LET(acronym, REGEXREPLACE(B67, ""(\w)\w*\s*"", ""$1""), IF(LEN(acronym) = 1, LEFT(B67, 2), acronym) &amp; C67 &amp; ""-p"")"),"LCyLCE4-p")</f>
        <v>LCyLCE4-p</v>
      </c>
      <c r="E67" s="3" t="s">
        <v>203</v>
      </c>
      <c r="F67" s="3" t="s">
        <v>201</v>
      </c>
      <c r="H67" s="9" t="str">
        <f t="shared" si="2"/>
        <v>grand-LCyLCE4-p</v>
      </c>
    </row>
    <row r="68">
      <c r="A68" s="7" t="s">
        <v>511</v>
      </c>
      <c r="B68" s="2" t="s">
        <v>197</v>
      </c>
      <c r="C68" s="3" t="s">
        <v>115</v>
      </c>
      <c r="D68" s="10" t="str">
        <f>IFERROR(__xludf.DUMMYFUNCTION("LET(acronym, REGEXREPLACE(B68, ""(\w)\w*\s*"", ""$1""), IF(LEN(acronym) = 1, LEFT(B68, 2), acronym) &amp; C68 &amp; ""-p"")"),"LCyLCE5-p")</f>
        <v>LCyLCE5-p</v>
      </c>
      <c r="E68" s="3" t="s">
        <v>204</v>
      </c>
      <c r="F68" s="3" t="s">
        <v>205</v>
      </c>
      <c r="H68" s="9" t="str">
        <f t="shared" si="2"/>
        <v>grand-LCyLCE5-p</v>
      </c>
    </row>
    <row r="69">
      <c r="A69" s="7" t="s">
        <v>511</v>
      </c>
      <c r="B69" s="2" t="s">
        <v>197</v>
      </c>
      <c r="C69" s="3" t="s">
        <v>118</v>
      </c>
      <c r="D69" s="10" t="str">
        <f>IFERROR(__xludf.DUMMYFUNCTION("LET(acronym, REGEXREPLACE(B69, ""(\w)\w*\s*"", ""$1""), IF(LEN(acronym) = 1, LEFT(B69, 2), acronym) &amp; C69 &amp; ""-p"")"),"LCyLCE6-p")</f>
        <v>LCyLCE6-p</v>
      </c>
      <c r="E69" s="3" t="s">
        <v>206</v>
      </c>
      <c r="F69" s="3" t="s">
        <v>168</v>
      </c>
      <c r="H69" s="9" t="str">
        <f t="shared" si="2"/>
        <v>grand-LCyLCE6-p</v>
      </c>
    </row>
    <row r="70">
      <c r="A70" s="7" t="s">
        <v>512</v>
      </c>
      <c r="B70" s="2" t="s">
        <v>105</v>
      </c>
      <c r="C70" s="3" t="s">
        <v>62</v>
      </c>
      <c r="D70" s="10" t="str">
        <f>IFERROR(__xludf.DUMMYFUNCTION("LET(acronym, REGEXREPLACE(B70, ""(\w)\w*\s*"", ""$1""), IF(LEN(acronym) = 1, LEFT(B70, 2), acronym) &amp; C70 &amp; ""-s"")"),"LCyLCE1-s")</f>
        <v>LCyLCE1-s</v>
      </c>
      <c r="E70" s="3" t="s">
        <v>208</v>
      </c>
      <c r="F70" s="3" t="s">
        <v>111</v>
      </c>
      <c r="H70" s="9" t="str">
        <f t="shared" si="2"/>
        <v>grand-LCyLCE1-s</v>
      </c>
    </row>
    <row r="71">
      <c r="A71" s="7" t="s">
        <v>512</v>
      </c>
      <c r="B71" s="2" t="s">
        <v>105</v>
      </c>
      <c r="C71" s="3" t="s">
        <v>64</v>
      </c>
      <c r="D71" s="10" t="str">
        <f>IFERROR(__xludf.DUMMYFUNCTION("LET(acronym, REGEXREPLACE(B71, ""(\w)\w*\s*"", ""$1""), IF(LEN(acronym) = 1, LEFT(B71, 2), acronym) &amp; C71 &amp; ""-s"")"),"LCyLCE2-s")</f>
        <v>LCyLCE2-s</v>
      </c>
      <c r="E71" s="3" t="s">
        <v>209</v>
      </c>
      <c r="F71" s="3" t="s">
        <v>114</v>
      </c>
      <c r="H71" s="9" t="str">
        <f t="shared" si="2"/>
        <v>grand-LCyLCE2-s</v>
      </c>
    </row>
    <row r="72">
      <c r="A72" s="7" t="s">
        <v>512</v>
      </c>
      <c r="B72" s="2" t="s">
        <v>105</v>
      </c>
      <c r="C72" s="3" t="s">
        <v>66</v>
      </c>
      <c r="D72" s="10" t="str">
        <f>IFERROR(__xludf.DUMMYFUNCTION("LET(acronym, REGEXREPLACE(B72, ""(\w)\w*\s*"", ""$1""), IF(LEN(acronym) = 1, LEFT(B72, 2), acronym) &amp; C72 &amp; ""-s"")"),"LCyLCE3-s")</f>
        <v>LCyLCE3-s</v>
      </c>
      <c r="E72" s="3" t="s">
        <v>210</v>
      </c>
      <c r="F72" s="3" t="s">
        <v>205</v>
      </c>
      <c r="H72" s="9" t="str">
        <f t="shared" si="2"/>
        <v>grand-LCyLCE3-s</v>
      </c>
    </row>
    <row r="73">
      <c r="A73" s="7" t="s">
        <v>512</v>
      </c>
      <c r="B73" s="2" t="s">
        <v>105</v>
      </c>
      <c r="C73" s="3" t="s">
        <v>112</v>
      </c>
      <c r="D73" s="10" t="str">
        <f>IFERROR(__xludf.DUMMYFUNCTION("LET(acronym, REGEXREPLACE(B73, ""(\w)\w*\s*"", ""$1""), IF(LEN(acronym) = 1, LEFT(B73, 2), acronym) &amp; C73 &amp; ""-s"")"),"LCyLCE4-s")</f>
        <v>LCyLCE4-s</v>
      </c>
      <c r="E73" s="3" t="s">
        <v>211</v>
      </c>
      <c r="F73" s="3" t="s">
        <v>8</v>
      </c>
      <c r="H73" s="9" t="str">
        <f t="shared" si="2"/>
        <v>grand-LCyLCE4-s</v>
      </c>
    </row>
    <row r="74">
      <c r="A74" s="7" t="s">
        <v>512</v>
      </c>
      <c r="B74" s="2" t="s">
        <v>105</v>
      </c>
      <c r="C74" s="3" t="s">
        <v>115</v>
      </c>
      <c r="D74" s="10" t="str">
        <f>IFERROR(__xludf.DUMMYFUNCTION("LET(acronym, REGEXREPLACE(B74, ""(\w)\w*\s*"", ""$1""), IF(LEN(acronym) = 1, LEFT(B74, 2), acronym) &amp; C74 &amp; ""-s"")"),"LCyLCE5-s")</f>
        <v>LCyLCE5-s</v>
      </c>
      <c r="E74" s="3" t="s">
        <v>212</v>
      </c>
      <c r="F74" s="3" t="s">
        <v>122</v>
      </c>
      <c r="H74" s="9" t="str">
        <f t="shared" si="2"/>
        <v>grand-LCyLCE5-s</v>
      </c>
    </row>
    <row r="75">
      <c r="A75" s="7" t="s">
        <v>512</v>
      </c>
      <c r="B75" s="2" t="s">
        <v>105</v>
      </c>
      <c r="C75" s="3" t="s">
        <v>118</v>
      </c>
      <c r="D75" s="10" t="str">
        <f>IFERROR(__xludf.DUMMYFUNCTION("LET(acronym, REGEXREPLACE(B75, ""(\w)\w*\s*"", ""$1""), IF(LEN(acronym) = 1, LEFT(B75, 2), acronym) &amp; C75 &amp; ""-s"")"),"LCyLCE6-s")</f>
        <v>LCyLCE6-s</v>
      </c>
      <c r="E75" s="3" t="s">
        <v>213</v>
      </c>
      <c r="F75" s="3" t="s">
        <v>125</v>
      </c>
      <c r="H75" s="9" t="str">
        <f t="shared" si="2"/>
        <v>grand-LCyLCE6-s</v>
      </c>
    </row>
    <row r="76">
      <c r="A76" s="7" t="s">
        <v>512</v>
      </c>
      <c r="B76" s="2" t="s">
        <v>214</v>
      </c>
      <c r="C76" s="3" t="s">
        <v>62</v>
      </c>
      <c r="D76" s="10" t="str">
        <f>IFERROR(__xludf.DUMMYFUNCTION("LET(acronym, REGEXREPLACE(B76, ""(\w)\w*\s*"", ""$1""), IF(LEN(acronym) = 1, LEFT(B76, 2), acronym) &amp; C76 &amp; ""-s"")"),"GíaeHCE1-s")</f>
        <v>GíaeHCE1-s</v>
      </c>
      <c r="E76" s="3" t="s">
        <v>215</v>
      </c>
      <c r="F76" s="3" t="s">
        <v>216</v>
      </c>
      <c r="H76" s="9" t="str">
        <f t="shared" si="2"/>
        <v>grand-GíaeHCE1-s</v>
      </c>
    </row>
    <row r="77">
      <c r="A77" s="7" t="s">
        <v>512</v>
      </c>
      <c r="B77" s="2" t="s">
        <v>214</v>
      </c>
      <c r="C77" s="3" t="s">
        <v>64</v>
      </c>
      <c r="D77" s="10" t="str">
        <f>IFERROR(__xludf.DUMMYFUNCTION("LET(acronym, REGEXREPLACE(B77, ""(\w)\w*\s*"", ""$1""), IF(LEN(acronym) = 1, LEFT(B77, 2), acronym) &amp; C77 &amp; ""-s"")"),"GíaeHCE2-s")</f>
        <v>GíaeHCE2-s</v>
      </c>
      <c r="E77" s="3" t="s">
        <v>217</v>
      </c>
      <c r="F77" s="3" t="s">
        <v>28</v>
      </c>
      <c r="H77" s="9" t="str">
        <f t="shared" si="2"/>
        <v>grand-GíaeHCE2-s</v>
      </c>
    </row>
    <row r="78">
      <c r="A78" s="7" t="s">
        <v>512</v>
      </c>
      <c r="B78" s="2" t="s">
        <v>214</v>
      </c>
      <c r="C78" s="3" t="s">
        <v>66</v>
      </c>
      <c r="D78" s="10" t="str">
        <f>IFERROR(__xludf.DUMMYFUNCTION("LET(acronym, REGEXREPLACE(B78, ""(\w)\w*\s*"", ""$1""), IF(LEN(acronym) = 1, LEFT(B78, 2), acronym) &amp; C78 &amp; ""-s"")"),"GíaeHCE3-s")</f>
        <v>GíaeHCE3-s</v>
      </c>
      <c r="E78" s="3" t="s">
        <v>218</v>
      </c>
      <c r="F78" s="3" t="s">
        <v>219</v>
      </c>
      <c r="H78" s="9" t="str">
        <f t="shared" si="2"/>
        <v>grand-GíaeHCE3-s</v>
      </c>
    </row>
    <row r="79">
      <c r="A79" s="7" t="s">
        <v>512</v>
      </c>
      <c r="B79" s="2" t="s">
        <v>214</v>
      </c>
      <c r="C79" s="3" t="s">
        <v>112</v>
      </c>
      <c r="D79" s="10" t="str">
        <f>IFERROR(__xludf.DUMMYFUNCTION("LET(acronym, REGEXREPLACE(B79, ""(\w)\w*\s*"", ""$1""), IF(LEN(acronym) = 1, LEFT(B79, 2), acronym) &amp; C79 &amp; ""-s"")"),"GíaeHCE4-s")</f>
        <v>GíaeHCE4-s</v>
      </c>
      <c r="E79" s="3" t="s">
        <v>220</v>
      </c>
      <c r="F79" s="3" t="s">
        <v>156</v>
      </c>
      <c r="H79" s="9" t="str">
        <f t="shared" si="2"/>
        <v>grand-GíaeHCE4-s</v>
      </c>
    </row>
    <row r="80">
      <c r="A80" s="7" t="s">
        <v>512</v>
      </c>
      <c r="B80" s="2" t="s">
        <v>214</v>
      </c>
      <c r="C80" s="3" t="s">
        <v>115</v>
      </c>
      <c r="D80" s="10" t="str">
        <f>IFERROR(__xludf.DUMMYFUNCTION("LET(acronym, REGEXREPLACE(B80, ""(\w)\w*\s*"", ""$1""), IF(LEN(acronym) = 1, LEFT(B80, 2), acronym) &amp; C80 &amp; ""-s"")"),"GíaeHCE5-s")</f>
        <v>GíaeHCE5-s</v>
      </c>
      <c r="E80" s="3" t="s">
        <v>221</v>
      </c>
      <c r="F80" s="3" t="s">
        <v>222</v>
      </c>
      <c r="H80" s="9" t="str">
        <f t="shared" si="2"/>
        <v>grand-GíaeHCE5-s</v>
      </c>
    </row>
    <row r="81">
      <c r="A81" s="7" t="s">
        <v>512</v>
      </c>
      <c r="B81" s="2" t="s">
        <v>214</v>
      </c>
      <c r="C81" s="3" t="s">
        <v>118</v>
      </c>
      <c r="D81" s="10" t="str">
        <f>IFERROR(__xludf.DUMMYFUNCTION("LET(acronym, REGEXREPLACE(B81, ""(\w)\w*\s*"", ""$1""), IF(LEN(acronym) = 1, LEFT(B81, 2), acronym) &amp; C81 &amp; ""-s"")"),"GíaeHCE6-s")</f>
        <v>GíaeHCE6-s</v>
      </c>
      <c r="E81" s="3" t="s">
        <v>223</v>
      </c>
      <c r="F81" s="3" t="s">
        <v>158</v>
      </c>
      <c r="H81" s="9" t="str">
        <f t="shared" si="2"/>
        <v>grand-GíaeHCE6-s</v>
      </c>
    </row>
    <row r="82">
      <c r="A82" s="7" t="s">
        <v>512</v>
      </c>
      <c r="B82" s="2" t="s">
        <v>126</v>
      </c>
      <c r="C82" s="3" t="s">
        <v>62</v>
      </c>
      <c r="D82" s="10" t="str">
        <f>IFERROR(__xludf.DUMMYFUNCTION("LET(acronym, REGEXREPLACE(B82, ""(\w)\w*\s*"", ""$1""), IF(LEN(acronym) = 1, LEFT(B82, 2), acronym) &amp; C82 &amp; ""-s"")"),"MátCE1-s")</f>
        <v>MátCE1-s</v>
      </c>
      <c r="E82" s="3" t="s">
        <v>224</v>
      </c>
      <c r="F82" s="3" t="s">
        <v>22</v>
      </c>
      <c r="H82" s="9" t="str">
        <f t="shared" si="2"/>
        <v>grand-MátCE1-s</v>
      </c>
    </row>
    <row r="83">
      <c r="A83" s="7" t="s">
        <v>512</v>
      </c>
      <c r="B83" s="2" t="s">
        <v>126</v>
      </c>
      <c r="C83" s="3" t="s">
        <v>64</v>
      </c>
      <c r="D83" s="10" t="str">
        <f>IFERROR(__xludf.DUMMYFUNCTION("LET(acronym, REGEXREPLACE(B83, ""(\w)\w*\s*"", ""$1""), IF(LEN(acronym) = 1, LEFT(B83, 2), acronym) &amp; C83 &amp; ""-s"")"),"MátCE2-s")</f>
        <v>MátCE2-s</v>
      </c>
      <c r="E83" s="3" t="s">
        <v>225</v>
      </c>
      <c r="F83" s="3" t="s">
        <v>28</v>
      </c>
      <c r="H83" s="9" t="str">
        <f t="shared" si="2"/>
        <v>grand-MátCE2-s</v>
      </c>
    </row>
    <row r="84">
      <c r="A84" s="7" t="s">
        <v>512</v>
      </c>
      <c r="B84" s="2" t="s">
        <v>126</v>
      </c>
      <c r="C84" s="3" t="s">
        <v>66</v>
      </c>
      <c r="D84" s="10" t="str">
        <f>IFERROR(__xludf.DUMMYFUNCTION("LET(acronym, REGEXREPLACE(B84, ""(\w)\w*\s*"", ""$1""), IF(LEN(acronym) = 1, LEFT(B84, 2), acronym) &amp; C84 &amp; ""-s"")"),"MátCE3-s")</f>
        <v>MátCE3-s</v>
      </c>
      <c r="E84" s="3" t="s">
        <v>226</v>
      </c>
      <c r="F84" s="3" t="s">
        <v>22</v>
      </c>
      <c r="H84" s="9" t="str">
        <f t="shared" si="2"/>
        <v>grand-MátCE3-s</v>
      </c>
    </row>
    <row r="85">
      <c r="A85" s="7" t="s">
        <v>512</v>
      </c>
      <c r="B85" s="2" t="s">
        <v>126</v>
      </c>
      <c r="C85" s="3" t="s">
        <v>112</v>
      </c>
      <c r="D85" s="10" t="str">
        <f>IFERROR(__xludf.DUMMYFUNCTION("LET(acronym, REGEXREPLACE(B85, ""(\w)\w*\s*"", ""$1""), IF(LEN(acronym) = 1, LEFT(B85, 2), acronym) &amp; C85 &amp; ""-s"")"),"MátCE4-s")</f>
        <v>MátCE4-s</v>
      </c>
      <c r="E85" s="3" t="s">
        <v>227</v>
      </c>
      <c r="F85" s="3" t="s">
        <v>134</v>
      </c>
      <c r="H85" s="9" t="str">
        <f t="shared" si="2"/>
        <v>grand-MátCE4-s</v>
      </c>
    </row>
    <row r="86">
      <c r="A86" s="7" t="s">
        <v>512</v>
      </c>
      <c r="B86" s="2" t="s">
        <v>126</v>
      </c>
      <c r="C86" s="3" t="s">
        <v>115</v>
      </c>
      <c r="D86" s="10" t="str">
        <f>IFERROR(__xludf.DUMMYFUNCTION("LET(acronym, REGEXREPLACE(B86, ""(\w)\w*\s*"", ""$1""), IF(LEN(acronym) = 1, LEFT(B86, 2), acronym) &amp; C86 &amp; ""-s"")"),"MátCE5-s")</f>
        <v>MátCE5-s</v>
      </c>
      <c r="E86" s="3" t="s">
        <v>228</v>
      </c>
      <c r="F86" s="3" t="s">
        <v>187</v>
      </c>
      <c r="H86" s="9" t="str">
        <f t="shared" si="2"/>
        <v>grand-MátCE5-s</v>
      </c>
    </row>
    <row r="87">
      <c r="A87" s="7" t="s">
        <v>512</v>
      </c>
      <c r="B87" s="2" t="s">
        <v>229</v>
      </c>
      <c r="C87" s="3" t="s">
        <v>62</v>
      </c>
      <c r="D87" s="10" t="str">
        <f>IFERROR(__xludf.DUMMYFUNCTION("LET(acronym, REGEXREPLACE(B87, ""(\w)\w*\s*"", ""$1""), IF(LEN(acronym) = 1, LEFT(B87, 2), acronym) &amp; C87 &amp; ""-s"")"),"BíayGíaCE1-s")</f>
        <v>BíayGíaCE1-s</v>
      </c>
      <c r="E87" s="3" t="s">
        <v>230</v>
      </c>
      <c r="F87" s="3" t="s">
        <v>24</v>
      </c>
      <c r="H87" s="9" t="str">
        <f t="shared" si="2"/>
        <v>grand-BíayGíaCE1-s</v>
      </c>
    </row>
    <row r="88">
      <c r="A88" s="7" t="s">
        <v>512</v>
      </c>
      <c r="B88" s="2" t="s">
        <v>229</v>
      </c>
      <c r="C88" s="3" t="s">
        <v>64</v>
      </c>
      <c r="D88" s="10" t="str">
        <f>IFERROR(__xludf.DUMMYFUNCTION("LET(acronym, REGEXREPLACE(B88, ""(\w)\w*\s*"", ""$1""), IF(LEN(acronym) = 1, LEFT(B88, 2), acronym) &amp; C88 &amp; ""-s"")"),"BíayGíaCE2-s")</f>
        <v>BíayGíaCE2-s</v>
      </c>
      <c r="E88" s="3" t="s">
        <v>231</v>
      </c>
      <c r="F88" s="3" t="s">
        <v>141</v>
      </c>
      <c r="H88" s="9" t="str">
        <f t="shared" si="2"/>
        <v>grand-BíayGíaCE2-s</v>
      </c>
    </row>
    <row r="89">
      <c r="A89" s="7" t="s">
        <v>512</v>
      </c>
      <c r="B89" s="2" t="s">
        <v>229</v>
      </c>
      <c r="C89" s="3" t="s">
        <v>66</v>
      </c>
      <c r="D89" s="10" t="str">
        <f>IFERROR(__xludf.DUMMYFUNCTION("LET(acronym, REGEXREPLACE(B89, ""(\w)\w*\s*"", ""$1""), IF(LEN(acronym) = 1, LEFT(B89, 2), acronym) &amp; C89 &amp; ""-s"")"),"BíayGíaCE3-s")</f>
        <v>BíayGíaCE3-s</v>
      </c>
      <c r="E89" s="3" t="s">
        <v>232</v>
      </c>
      <c r="F89" s="3" t="s">
        <v>144</v>
      </c>
      <c r="H89" s="9" t="str">
        <f t="shared" si="2"/>
        <v>grand-BíayGíaCE3-s</v>
      </c>
    </row>
    <row r="90">
      <c r="A90" s="7" t="s">
        <v>512</v>
      </c>
      <c r="B90" s="2" t="s">
        <v>229</v>
      </c>
      <c r="C90" s="3" t="s">
        <v>112</v>
      </c>
      <c r="D90" s="10" t="str">
        <f>IFERROR(__xludf.DUMMYFUNCTION("LET(acronym, REGEXREPLACE(B90, ""(\w)\w*\s*"", ""$1""), IF(LEN(acronym) = 1, LEFT(B90, 2), acronym) &amp; C90 &amp; ""-s"")"),"BíayGíaCE4-s")</f>
        <v>BíayGíaCE4-s</v>
      </c>
      <c r="E90" s="3" t="s">
        <v>233</v>
      </c>
      <c r="F90" s="3" t="s">
        <v>146</v>
      </c>
      <c r="H90" s="9" t="str">
        <f t="shared" si="2"/>
        <v>grand-BíayGíaCE4-s</v>
      </c>
    </row>
    <row r="91">
      <c r="A91" s="7" t="s">
        <v>512</v>
      </c>
      <c r="B91" s="2" t="s">
        <v>229</v>
      </c>
      <c r="C91" s="3" t="s">
        <v>115</v>
      </c>
      <c r="D91" s="10" t="str">
        <f>IFERROR(__xludf.DUMMYFUNCTION("LET(acronym, REGEXREPLACE(B91, ""(\w)\w*\s*"", ""$1""), IF(LEN(acronym) = 1, LEFT(B91, 2), acronym) &amp; C91 &amp; ""-s"")"),"BíayGíaCE5-s")</f>
        <v>BíayGíaCE5-s</v>
      </c>
      <c r="E91" s="3" t="s">
        <v>234</v>
      </c>
      <c r="F91" s="3" t="s">
        <v>148</v>
      </c>
      <c r="H91" s="9" t="str">
        <f t="shared" si="2"/>
        <v>grand-BíayGíaCE5-s</v>
      </c>
    </row>
    <row r="92">
      <c r="A92" s="7" t="s">
        <v>512</v>
      </c>
      <c r="B92" s="2" t="s">
        <v>235</v>
      </c>
      <c r="C92" s="3" t="s">
        <v>62</v>
      </c>
      <c r="D92" s="10" t="str">
        <f>IFERROR(__xludf.DUMMYFUNCTION("LET(acronym, REGEXREPLACE(B92, ""(\w)\w*\s*"", ""$1""), IF(LEN(acronym) = 1, LEFT(B92, 2), acronym) &amp; C92 &amp; ""-s"")"),"FísyQímCE1-s")</f>
        <v>FísyQímCE1-s</v>
      </c>
      <c r="E92" s="3" t="s">
        <v>236</v>
      </c>
      <c r="F92" s="3" t="s">
        <v>24</v>
      </c>
      <c r="H92" s="9" t="str">
        <f t="shared" si="2"/>
        <v>grand-FísyQímCE1-s</v>
      </c>
    </row>
    <row r="93">
      <c r="A93" s="7" t="s">
        <v>512</v>
      </c>
      <c r="B93" s="2" t="s">
        <v>235</v>
      </c>
      <c r="C93" s="3" t="s">
        <v>64</v>
      </c>
      <c r="D93" s="10" t="str">
        <f>IFERROR(__xludf.DUMMYFUNCTION("LET(acronym, REGEXREPLACE(B93, ""(\w)\w*\s*"", ""$1""), IF(LEN(acronym) = 1, LEFT(B93, 2), acronym) &amp; C93 &amp; ""-s"")"),"FísyQímCE2-s")</f>
        <v>FísyQímCE2-s</v>
      </c>
      <c r="E93" s="3" t="s">
        <v>237</v>
      </c>
      <c r="F93" s="3" t="s">
        <v>141</v>
      </c>
      <c r="H93" s="9" t="str">
        <f t="shared" si="2"/>
        <v>grand-FísyQímCE2-s</v>
      </c>
    </row>
    <row r="94">
      <c r="A94" s="7" t="s">
        <v>512</v>
      </c>
      <c r="B94" s="2" t="s">
        <v>235</v>
      </c>
      <c r="C94" s="3" t="s">
        <v>66</v>
      </c>
      <c r="D94" s="10" t="str">
        <f>IFERROR(__xludf.DUMMYFUNCTION("LET(acronym, REGEXREPLACE(B94, ""(\w)\w*\s*"", ""$1""), IF(LEN(acronym) = 1, LEFT(B94, 2), acronym) &amp; C94 &amp; ""-s"")"),"FísyQímCE3-s")</f>
        <v>FísyQímCE3-s</v>
      </c>
      <c r="E94" s="3" t="s">
        <v>238</v>
      </c>
      <c r="F94" s="3" t="s">
        <v>22</v>
      </c>
      <c r="H94" s="9" t="str">
        <f t="shared" si="2"/>
        <v>grand-FísyQímCE3-s</v>
      </c>
    </row>
    <row r="95">
      <c r="A95" s="7" t="s">
        <v>512</v>
      </c>
      <c r="B95" s="2" t="s">
        <v>235</v>
      </c>
      <c r="C95" s="3" t="s">
        <v>112</v>
      </c>
      <c r="D95" s="10" t="str">
        <f>IFERROR(__xludf.DUMMYFUNCTION("LET(acronym, REGEXREPLACE(B95, ""(\w)\w*\s*"", ""$1""), IF(LEN(acronym) = 1, LEFT(B95, 2), acronym) &amp; C95 &amp; ""-s"")"),"FísyQímCE4-s")</f>
        <v>FísyQímCE4-s</v>
      </c>
      <c r="E95" s="3" t="s">
        <v>239</v>
      </c>
      <c r="F95" s="3" t="s">
        <v>146</v>
      </c>
      <c r="H95" s="9" t="str">
        <f t="shared" si="2"/>
        <v>grand-FísyQímCE4-s</v>
      </c>
    </row>
    <row r="96">
      <c r="A96" s="7" t="s">
        <v>512</v>
      </c>
      <c r="B96" s="2" t="s">
        <v>235</v>
      </c>
      <c r="C96" s="3" t="s">
        <v>115</v>
      </c>
      <c r="D96" s="10" t="str">
        <f>IFERROR(__xludf.DUMMYFUNCTION("LET(acronym, REGEXREPLACE(B96, ""(\w)\w*\s*"", ""$1""), IF(LEN(acronym) = 1, LEFT(B96, 2), acronym) &amp; C96 &amp; ""-s"")"),"FísyQímCE5-s")</f>
        <v>FísyQímCE5-s</v>
      </c>
      <c r="E96" s="3" t="s">
        <v>240</v>
      </c>
      <c r="F96" s="3" t="s">
        <v>148</v>
      </c>
      <c r="H96" s="9" t="str">
        <f t="shared" si="2"/>
        <v>grand-FísyQímCE5-s</v>
      </c>
    </row>
    <row r="97">
      <c r="A97" s="7" t="s">
        <v>512</v>
      </c>
      <c r="B97" s="2" t="s">
        <v>241</v>
      </c>
      <c r="C97" s="3" t="s">
        <v>62</v>
      </c>
      <c r="D97" s="10" t="str">
        <f>IFERROR(__xludf.DUMMYFUNCTION("LET(acronym, REGEXREPLACE(B97, ""(\w)\w*\s*"", ""$1""), IF(LEN(acronym) = 1, LEFT(B97, 2), acronym) &amp; C97 &amp; ""-s"")"),"EónPás, VyACE1-s")</f>
        <v>EónPás, VyACE1-s</v>
      </c>
      <c r="E97" s="3" t="s">
        <v>242</v>
      </c>
      <c r="F97" s="3" t="s">
        <v>243</v>
      </c>
      <c r="H97" s="9" t="str">
        <f t="shared" si="2"/>
        <v>grand-EónPás, VyACE1-s</v>
      </c>
    </row>
    <row r="98">
      <c r="A98" s="7" t="s">
        <v>512</v>
      </c>
      <c r="B98" s="2" t="s">
        <v>241</v>
      </c>
      <c r="C98" s="3" t="s">
        <v>64</v>
      </c>
      <c r="D98" s="10" t="str">
        <f>IFERROR(__xludf.DUMMYFUNCTION("LET(acronym, REGEXREPLACE(B98, ""(\w)\w*\s*"", ""$1""), IF(LEN(acronym) = 1, LEFT(B98, 2), acronym) &amp; C98 &amp; ""-s"")"),"EónPás, VyACE2-s")</f>
        <v>EónPás, VyACE2-s</v>
      </c>
      <c r="E98" s="3" t="s">
        <v>244</v>
      </c>
      <c r="F98" s="3" t="s">
        <v>175</v>
      </c>
      <c r="H98" s="9" t="str">
        <f t="shared" si="2"/>
        <v>grand-EónPás, VyACE2-s</v>
      </c>
    </row>
    <row r="99">
      <c r="A99" s="7" t="s">
        <v>512</v>
      </c>
      <c r="B99" s="2" t="s">
        <v>241</v>
      </c>
      <c r="C99" s="3" t="s">
        <v>66</v>
      </c>
      <c r="D99" s="10" t="str">
        <f>IFERROR(__xludf.DUMMYFUNCTION("LET(acronym, REGEXREPLACE(B99, ""(\w)\w*\s*"", ""$1""), IF(LEN(acronym) = 1, LEFT(B99, 2), acronym) &amp; C99 &amp; ""-s"")"),"EónPás, VyACE3-s")</f>
        <v>EónPás, VyACE3-s</v>
      </c>
      <c r="E99" s="3" t="s">
        <v>245</v>
      </c>
      <c r="F99" s="3" t="s">
        <v>180</v>
      </c>
      <c r="H99" s="9" t="str">
        <f t="shared" si="2"/>
        <v>grand-EónPás, VyACE3-s</v>
      </c>
    </row>
    <row r="100">
      <c r="A100" s="7" t="s">
        <v>512</v>
      </c>
      <c r="B100" s="2" t="s">
        <v>241</v>
      </c>
      <c r="C100" s="3" t="s">
        <v>112</v>
      </c>
      <c r="D100" s="10" t="str">
        <f>IFERROR(__xludf.DUMMYFUNCTION("LET(acronym, REGEXREPLACE(B100, ""(\w)\w*\s*"", ""$1""), IF(LEN(acronym) = 1, LEFT(B100, 2), acronym) &amp; C100 &amp; ""-s"")"),"EónPás, VyACE4-s")</f>
        <v>EónPás, VyACE4-s</v>
      </c>
      <c r="E100" s="3" t="s">
        <v>246</v>
      </c>
      <c r="F100" s="3" t="s">
        <v>156</v>
      </c>
      <c r="H100" s="9" t="str">
        <f t="shared" si="2"/>
        <v>grand-EónPás, VyACE4-s</v>
      </c>
    </row>
    <row r="101">
      <c r="A101" s="7" t="s">
        <v>512</v>
      </c>
      <c r="B101" s="2" t="s">
        <v>247</v>
      </c>
      <c r="C101" s="3" t="s">
        <v>62</v>
      </c>
      <c r="D101" s="10" t="str">
        <f>IFERROR(__xludf.DUMMYFUNCTION("LET(acronym, REGEXREPLACE(B101, ""(\w)\w*\s*"", ""$1""), IF(LEN(acronym) = 1, LEFT(B101, 2), acronym) &amp; C101 &amp; ""-s"")"),"MúsCE1-s")</f>
        <v>MúsCE1-s</v>
      </c>
      <c r="E101" s="3" t="s">
        <v>248</v>
      </c>
      <c r="F101" s="3" t="s">
        <v>69</v>
      </c>
      <c r="H101" s="9" t="str">
        <f t="shared" si="2"/>
        <v>grand-MúsCE1-s</v>
      </c>
    </row>
    <row r="102">
      <c r="A102" s="7" t="s">
        <v>512</v>
      </c>
      <c r="B102" s="2" t="s">
        <v>247</v>
      </c>
      <c r="C102" s="3" t="s">
        <v>64</v>
      </c>
      <c r="D102" s="10" t="str">
        <f>IFERROR(__xludf.DUMMYFUNCTION("LET(acronym, REGEXREPLACE(B102, ""(\w)\w*\s*"", ""$1""), IF(LEN(acronym) = 1, LEFT(B102, 2), acronym) &amp; C102 &amp; ""-s"")"),"MúsCE2-s")</f>
        <v>MúsCE2-s</v>
      </c>
      <c r="E102" s="3" t="s">
        <v>249</v>
      </c>
      <c r="F102" s="3" t="s">
        <v>173</v>
      </c>
      <c r="H102" s="9" t="str">
        <f t="shared" si="2"/>
        <v>grand-MúsCE2-s</v>
      </c>
    </row>
    <row r="103">
      <c r="A103" s="7" t="s">
        <v>512</v>
      </c>
      <c r="B103" s="2" t="s">
        <v>247</v>
      </c>
      <c r="C103" s="3" t="s">
        <v>66</v>
      </c>
      <c r="D103" s="10" t="str">
        <f>IFERROR(__xludf.DUMMYFUNCTION("LET(acronym, REGEXREPLACE(B103, ""(\w)\w*\s*"", ""$1""), IF(LEN(acronym) = 1, LEFT(B103, 2), acronym) &amp; C103 &amp; ""-s"")"),"MúsCE3-s")</f>
        <v>MúsCE3-s</v>
      </c>
      <c r="E103" s="3" t="s">
        <v>250</v>
      </c>
      <c r="F103" s="3" t="s">
        <v>251</v>
      </c>
      <c r="H103" s="9" t="str">
        <f t="shared" si="2"/>
        <v>grand-MúsCE3-s</v>
      </c>
    </row>
    <row r="104">
      <c r="A104" s="7" t="s">
        <v>512</v>
      </c>
      <c r="B104" s="2" t="s">
        <v>247</v>
      </c>
      <c r="C104" s="3" t="s">
        <v>112</v>
      </c>
      <c r="D104" s="10" t="str">
        <f>IFERROR(__xludf.DUMMYFUNCTION("LET(acronym, REGEXREPLACE(B104, ""(\w)\w*\s*"", ""$1""), IF(LEN(acronym) = 1, LEFT(B104, 2), acronym) &amp; C104 &amp; ""-s"")"),"MúsCE4-s")</f>
        <v>MúsCE4-s</v>
      </c>
      <c r="E104" s="3" t="s">
        <v>252</v>
      </c>
      <c r="F104" s="3" t="s">
        <v>253</v>
      </c>
      <c r="H104" s="9" t="str">
        <f t="shared" si="2"/>
        <v>grand-MúsCE4-s</v>
      </c>
    </row>
    <row r="105">
      <c r="A105" s="7" t="s">
        <v>512</v>
      </c>
      <c r="B105" s="2" t="s">
        <v>181</v>
      </c>
      <c r="C105" s="3" t="s">
        <v>62</v>
      </c>
      <c r="D105" s="10" t="str">
        <f>IFERROR(__xludf.DUMMYFUNCTION("LET(acronym, REGEXREPLACE(B105, ""(\w)\w*\s*"", ""$1""), IF(LEN(acronym) = 1, LEFT(B105, 2), acronym) &amp; C105 &amp; ""-s"")"),"EónFísCE1-s")</f>
        <v>EónFísCE1-s</v>
      </c>
      <c r="E105" s="3" t="s">
        <v>254</v>
      </c>
      <c r="F105" s="3" t="s">
        <v>255</v>
      </c>
      <c r="H105" s="9" t="str">
        <f t="shared" si="2"/>
        <v>grand-EónFísCE1-s</v>
      </c>
    </row>
    <row r="106">
      <c r="A106" s="7" t="s">
        <v>512</v>
      </c>
      <c r="B106" s="2" t="s">
        <v>181</v>
      </c>
      <c r="C106" s="3" t="s">
        <v>64</v>
      </c>
      <c r="D106" s="10" t="str">
        <f>IFERROR(__xludf.DUMMYFUNCTION("LET(acronym, REGEXREPLACE(B106, ""(\w)\w*\s*"", ""$1""), IF(LEN(acronym) = 1, LEFT(B106, 2), acronym) &amp; C106 &amp; ""-s"")"),"EónFísCE2-s")</f>
        <v>EónFísCE2-s</v>
      </c>
      <c r="E106" s="3" t="s">
        <v>256</v>
      </c>
      <c r="F106" s="3" t="s">
        <v>144</v>
      </c>
      <c r="H106" s="9" t="str">
        <f t="shared" si="2"/>
        <v>grand-EónFísCE2-s</v>
      </c>
    </row>
    <row r="107">
      <c r="A107" s="7" t="s">
        <v>512</v>
      </c>
      <c r="B107" s="2" t="s">
        <v>181</v>
      </c>
      <c r="C107" s="3" t="s">
        <v>66</v>
      </c>
      <c r="D107" s="10" t="str">
        <f>IFERROR(__xludf.DUMMYFUNCTION("LET(acronym, REGEXREPLACE(B107, ""(\w)\w*\s*"", ""$1""), IF(LEN(acronym) = 1, LEFT(B107, 2), acronym) &amp; C107 &amp; ""-s"")"),"EónFísCE3-s")</f>
        <v>EónFísCE3-s</v>
      </c>
      <c r="E107" s="3" t="s">
        <v>257</v>
      </c>
      <c r="F107" s="3" t="s">
        <v>184</v>
      </c>
      <c r="H107" s="9" t="str">
        <f t="shared" si="2"/>
        <v>grand-EónFísCE3-s</v>
      </c>
    </row>
    <row r="108">
      <c r="A108" s="7" t="s">
        <v>512</v>
      </c>
      <c r="B108" s="2" t="s">
        <v>181</v>
      </c>
      <c r="C108" s="3" t="s">
        <v>112</v>
      </c>
      <c r="D108" s="10" t="str">
        <f>IFERROR(__xludf.DUMMYFUNCTION("LET(acronym, REGEXREPLACE(B108, ""(\w)\w*\s*"", ""$1""), IF(LEN(acronym) = 1, LEFT(B108, 2), acronym) &amp; C108 &amp; ""-s"")"),"EónFísCE4-s")</f>
        <v>EónFísCE4-s</v>
      </c>
      <c r="E108" s="3" t="s">
        <v>258</v>
      </c>
      <c r="F108" s="3" t="s">
        <v>189</v>
      </c>
      <c r="H108" s="9" t="str">
        <f t="shared" si="2"/>
        <v>grand-EónFísCE4-s</v>
      </c>
    </row>
    <row r="109">
      <c r="A109" s="7" t="s">
        <v>512</v>
      </c>
      <c r="B109" s="2" t="s">
        <v>190</v>
      </c>
      <c r="C109" s="3" t="s">
        <v>62</v>
      </c>
      <c r="D109" s="10" t="str">
        <f>IFERROR(__xludf.DUMMYFUNCTION("LET(acronym, REGEXREPLACE(B109, ""(\w)\w*\s*"", ""$1""), IF(LEN(acronym) = 1, LEFT(B109, 2), acronym) &amp; C109 &amp; ""-s"")"),"VCívyÉtCE1-s")</f>
        <v>VCívyÉtCE1-s</v>
      </c>
      <c r="E109" s="3" t="s">
        <v>259</v>
      </c>
      <c r="F109" s="3" t="s">
        <v>219</v>
      </c>
      <c r="H109" s="9" t="str">
        <f t="shared" si="2"/>
        <v>grand-VCívyÉtCE1-s</v>
      </c>
    </row>
    <row r="110">
      <c r="A110" s="7" t="s">
        <v>512</v>
      </c>
      <c r="B110" s="2" t="s">
        <v>190</v>
      </c>
      <c r="C110" s="3" t="s">
        <v>64</v>
      </c>
      <c r="D110" s="10" t="str">
        <f>IFERROR(__xludf.DUMMYFUNCTION("LET(acronym, REGEXREPLACE(B110, ""(\w)\w*\s*"", ""$1""), IF(LEN(acronym) = 1, LEFT(B110, 2), acronym) &amp; C110 &amp; ""-s"")"),"VCívyÉtCE2-s")</f>
        <v>VCívyÉtCE2-s</v>
      </c>
      <c r="E110" s="3" t="s">
        <v>260</v>
      </c>
      <c r="F110" s="3" t="s">
        <v>184</v>
      </c>
      <c r="H110" s="9" t="str">
        <f t="shared" si="2"/>
        <v>grand-VCívyÉtCE2-s</v>
      </c>
    </row>
    <row r="111">
      <c r="A111" s="7" t="s">
        <v>512</v>
      </c>
      <c r="B111" s="2" t="s">
        <v>190</v>
      </c>
      <c r="C111" s="3" t="s">
        <v>66</v>
      </c>
      <c r="D111" s="10" t="str">
        <f>IFERROR(__xludf.DUMMYFUNCTION("LET(acronym, REGEXREPLACE(B111, ""(\w)\w*\s*"", ""$1""), IF(LEN(acronym) = 1, LEFT(B111, 2), acronym) &amp; C111 &amp; ""-s"")"),"VCívyÉtCE3-s")</f>
        <v>VCívyÉtCE3-s</v>
      </c>
      <c r="E111" s="3" t="s">
        <v>261</v>
      </c>
      <c r="F111" s="3" t="s">
        <v>154</v>
      </c>
      <c r="H111" s="9" t="str">
        <f t="shared" si="2"/>
        <v>grand-VCívyÉtCE3-s</v>
      </c>
    </row>
    <row r="112">
      <c r="A112" s="7" t="s">
        <v>512</v>
      </c>
      <c r="B112" s="2" t="s">
        <v>190</v>
      </c>
      <c r="C112" s="3" t="s">
        <v>112</v>
      </c>
      <c r="D112" s="10" t="str">
        <f>IFERROR(__xludf.DUMMYFUNCTION("LET(acronym, REGEXREPLACE(B112, ""(\w)\w*\s*"", ""$1""), IF(LEN(acronym) = 1, LEFT(B112, 2), acronym) &amp; C112 &amp; ""-s"")"),"VCívyÉtCE4-s")</f>
        <v>VCívyÉtCE4-s</v>
      </c>
      <c r="E112" s="3" t="s">
        <v>262</v>
      </c>
      <c r="F112" s="3" t="s">
        <v>263</v>
      </c>
      <c r="H112" s="9" t="str">
        <f t="shared" si="2"/>
        <v>grand-VCívyÉtCE4-s</v>
      </c>
    </row>
    <row r="113">
      <c r="A113" s="7" t="s">
        <v>512</v>
      </c>
      <c r="B113" s="2" t="s">
        <v>264</v>
      </c>
      <c r="C113" s="3" t="s">
        <v>62</v>
      </c>
      <c r="D113" s="10" t="str">
        <f>IFERROR(__xludf.DUMMYFUNCTION("LET(acronym, REGEXREPLACE(B113, ""(\w)\w*\s*"", ""$1""), IF(LEN(acronym) = 1, LEFT(B113, 2), acronym) &amp; C113 &amp; ""-s"")"),"TíayDónCE1-s")</f>
        <v>TíayDónCE1-s</v>
      </c>
      <c r="E113" s="3" t="s">
        <v>265</v>
      </c>
      <c r="F113" s="3" t="s">
        <v>266</v>
      </c>
      <c r="H113" s="9" t="str">
        <f t="shared" si="2"/>
        <v>grand-TíayDónCE1-s</v>
      </c>
    </row>
    <row r="114">
      <c r="A114" s="7" t="s">
        <v>512</v>
      </c>
      <c r="B114" s="2" t="s">
        <v>264</v>
      </c>
      <c r="C114" s="3" t="s">
        <v>64</v>
      </c>
      <c r="D114" s="10" t="str">
        <f>IFERROR(__xludf.DUMMYFUNCTION("LET(acronym, REGEXREPLACE(B114, ""(\w)\w*\s*"", ""$1""), IF(LEN(acronym) = 1, LEFT(B114, 2), acronym) &amp; C114 &amp; ""-s"")"),"TíayDónCE2-s")</f>
        <v>TíayDónCE2-s</v>
      </c>
      <c r="E114" s="3" t="s">
        <v>267</v>
      </c>
      <c r="F114" s="3" t="s">
        <v>268</v>
      </c>
      <c r="H114" s="9" t="str">
        <f t="shared" si="2"/>
        <v>grand-TíayDónCE2-s</v>
      </c>
    </row>
    <row r="115">
      <c r="A115" s="7" t="s">
        <v>512</v>
      </c>
      <c r="B115" s="2" t="s">
        <v>264</v>
      </c>
      <c r="C115" s="3" t="s">
        <v>66</v>
      </c>
      <c r="D115" s="10" t="str">
        <f>IFERROR(__xludf.DUMMYFUNCTION("LET(acronym, REGEXREPLACE(B115, ""(\w)\w*\s*"", ""$1""), IF(LEN(acronym) = 1, LEFT(B115, 2), acronym) &amp; C115 &amp; ""-s"")"),"TíayDónCE3-s")</f>
        <v>TíayDónCE3-s</v>
      </c>
      <c r="E115" s="3" t="s">
        <v>269</v>
      </c>
      <c r="F115" s="3" t="s">
        <v>270</v>
      </c>
      <c r="H115" s="9" t="str">
        <f t="shared" si="2"/>
        <v>grand-TíayDónCE3-s</v>
      </c>
    </row>
    <row r="116">
      <c r="A116" s="7" t="s">
        <v>512</v>
      </c>
      <c r="B116" s="2" t="s">
        <v>264</v>
      </c>
      <c r="C116" s="3" t="s">
        <v>112</v>
      </c>
      <c r="D116" s="10" t="str">
        <f>IFERROR(__xludf.DUMMYFUNCTION("LET(acronym, REGEXREPLACE(B116, ""(\w)\w*\s*"", ""$1""), IF(LEN(acronym) = 1, LEFT(B116, 2), acronym) &amp; C116 &amp; ""-s"")"),"TíayDónCE4-s")</f>
        <v>TíayDónCE4-s</v>
      </c>
      <c r="E116" s="3" t="s">
        <v>271</v>
      </c>
      <c r="F116" s="3" t="s">
        <v>272</v>
      </c>
      <c r="H116" s="9" t="str">
        <f t="shared" si="2"/>
        <v>grand-TíayDónCE4-s</v>
      </c>
    </row>
    <row r="117">
      <c r="A117" s="7" t="s">
        <v>512</v>
      </c>
      <c r="B117" s="2" t="s">
        <v>264</v>
      </c>
      <c r="C117" s="3" t="s">
        <v>115</v>
      </c>
      <c r="D117" s="10" t="str">
        <f>IFERROR(__xludf.DUMMYFUNCTION("LET(acronym, REGEXREPLACE(B117, ""(\w)\w*\s*"", ""$1""), IF(LEN(acronym) = 1, LEFT(B117, 2), acronym) &amp; C117 &amp; ""-s"")"),"TíayDónCE5-s")</f>
        <v>TíayDónCE5-s</v>
      </c>
      <c r="E117" s="3" t="s">
        <v>273</v>
      </c>
      <c r="F117" s="3" t="s">
        <v>253</v>
      </c>
      <c r="H117" s="9" t="str">
        <f t="shared" si="2"/>
        <v>grand-TíayDónCE5-s</v>
      </c>
    </row>
    <row r="118">
      <c r="A118" s="7" t="s">
        <v>512</v>
      </c>
      <c r="B118" s="2" t="s">
        <v>274</v>
      </c>
      <c r="C118" s="3" t="s">
        <v>62</v>
      </c>
      <c r="D118" s="10" t="str">
        <f>IFERROR(__xludf.DUMMYFUNCTION("LET(acronym, REGEXREPLACE(B118, ""(\w)\w*\s*"", ""$1""), IF(LEN(acronym) = 1, LEFT(B118, 2), acronym) &amp; C118 &amp; ""-s"")"),"EíayECE1-s")</f>
        <v>EíayECE1-s</v>
      </c>
      <c r="E118" s="3" t="s">
        <v>275</v>
      </c>
      <c r="F118" s="3" t="s">
        <v>276</v>
      </c>
      <c r="H118" s="9" t="str">
        <f t="shared" si="2"/>
        <v>grand-EíayECE1-s</v>
      </c>
    </row>
    <row r="119">
      <c r="A119" s="7" t="s">
        <v>512</v>
      </c>
      <c r="B119" s="2" t="s">
        <v>274</v>
      </c>
      <c r="C119" s="3" t="s">
        <v>64</v>
      </c>
      <c r="D119" s="10" t="str">
        <f>IFERROR(__xludf.DUMMYFUNCTION("LET(acronym, REGEXREPLACE(B119, ""(\w)\w*\s*"", ""$1""), IF(LEN(acronym) = 1, LEFT(B119, 2), acronym) &amp; C119 &amp; ""-s"")"),"EíayECE2-s")</f>
        <v>EíayECE2-s</v>
      </c>
      <c r="E119" s="3" t="s">
        <v>277</v>
      </c>
      <c r="F119" s="3" t="s">
        <v>184</v>
      </c>
      <c r="H119" s="9" t="str">
        <f t="shared" si="2"/>
        <v>grand-EíayECE2-s</v>
      </c>
    </row>
    <row r="120">
      <c r="A120" s="7" t="s">
        <v>512</v>
      </c>
      <c r="B120" s="2" t="s">
        <v>274</v>
      </c>
      <c r="C120" s="3" t="s">
        <v>66</v>
      </c>
      <c r="D120" s="10" t="str">
        <f>IFERROR(__xludf.DUMMYFUNCTION("LET(acronym, REGEXREPLACE(B120, ""(\w)\w*\s*"", ""$1""), IF(LEN(acronym) = 1, LEFT(B120, 2), acronym) &amp; C120 &amp; ""-s"")"),"EíayECE3-s")</f>
        <v>EíayECE3-s</v>
      </c>
      <c r="E120" s="3" t="s">
        <v>278</v>
      </c>
      <c r="F120" s="3" t="s">
        <v>279</v>
      </c>
      <c r="H120" s="9" t="str">
        <f t="shared" si="2"/>
        <v>grand-EíayECE3-s</v>
      </c>
    </row>
    <row r="121">
      <c r="A121" s="7" t="s">
        <v>512</v>
      </c>
      <c r="B121" s="2" t="s">
        <v>274</v>
      </c>
      <c r="C121" s="3" t="s">
        <v>112</v>
      </c>
      <c r="D121" s="10" t="str">
        <f>IFERROR(__xludf.DUMMYFUNCTION("LET(acronym, REGEXREPLACE(B121, ""(\w)\w*\s*"", ""$1""), IF(LEN(acronym) = 1, LEFT(B121, 2), acronym) &amp; C121 &amp; ""-s"")"),"EíayECE4-s")</f>
        <v>EíayECE4-s</v>
      </c>
      <c r="E121" s="3" t="s">
        <v>280</v>
      </c>
      <c r="F121" s="3" t="s">
        <v>281</v>
      </c>
      <c r="H121" s="9" t="str">
        <f t="shared" si="2"/>
        <v>grand-EíayECE4-s</v>
      </c>
    </row>
    <row r="122">
      <c r="A122" s="7" t="s">
        <v>512</v>
      </c>
      <c r="B122" s="2" t="s">
        <v>282</v>
      </c>
      <c r="C122" s="3" t="s">
        <v>62</v>
      </c>
      <c r="D122" s="10" t="str">
        <f>IFERROR(__xludf.DUMMYFUNCTION("LET(acronym, REGEXREPLACE(B122, ""(\w)\w*\s*"", ""$1""), IF(LEN(acronym) = 1, LEFT(B122, 2), acronym) &amp; C122 &amp; ""-s"")"),"CCásCE1-s")</f>
        <v>CCásCE1-s</v>
      </c>
      <c r="E122" s="3" t="s">
        <v>283</v>
      </c>
      <c r="F122" s="3" t="s">
        <v>156</v>
      </c>
      <c r="H122" s="9" t="str">
        <f t="shared" si="2"/>
        <v>grand-CCásCE1-s</v>
      </c>
    </row>
    <row r="123">
      <c r="A123" s="7" t="s">
        <v>512</v>
      </c>
      <c r="B123" s="2" t="s">
        <v>282</v>
      </c>
      <c r="C123" s="3" t="s">
        <v>64</v>
      </c>
      <c r="D123" s="10" t="str">
        <f>IFERROR(__xludf.DUMMYFUNCTION("LET(acronym, REGEXREPLACE(B123, ""(\w)\w*\s*"", ""$1""), IF(LEN(acronym) = 1, LEFT(B123, 2), acronym) &amp; C123 &amp; ""-s"")"),"CCásCE2-s")</f>
        <v>CCásCE2-s</v>
      </c>
      <c r="E123" s="3" t="s">
        <v>284</v>
      </c>
      <c r="F123" s="3" t="s">
        <v>285</v>
      </c>
      <c r="H123" s="9" t="str">
        <f t="shared" si="2"/>
        <v>grand-CCásCE2-s</v>
      </c>
    </row>
    <row r="124">
      <c r="A124" s="7" t="s">
        <v>512</v>
      </c>
      <c r="B124" s="2" t="s">
        <v>282</v>
      </c>
      <c r="C124" s="3" t="s">
        <v>66</v>
      </c>
      <c r="D124" s="10" t="str">
        <f>IFERROR(__xludf.DUMMYFUNCTION("LET(acronym, REGEXREPLACE(B124, ""(\w)\w*\s*"", ""$1""), IF(LEN(acronym) = 1, LEFT(B124, 2), acronym) &amp; C124 &amp; ""-s"")"),"CCásCE3-s")</f>
        <v>CCásCE3-s</v>
      </c>
      <c r="E124" s="3" t="s">
        <v>286</v>
      </c>
      <c r="F124" s="3" t="s">
        <v>69</v>
      </c>
      <c r="H124" s="9" t="str">
        <f t="shared" si="2"/>
        <v>grand-CCásCE3-s</v>
      </c>
    </row>
    <row r="125">
      <c r="A125" s="7" t="s">
        <v>512</v>
      </c>
      <c r="B125" s="2" t="s">
        <v>282</v>
      </c>
      <c r="C125" s="3" t="s">
        <v>112</v>
      </c>
      <c r="D125" s="10" t="str">
        <f>IFERROR(__xludf.DUMMYFUNCTION("LET(acronym, REGEXREPLACE(B125, ""(\w)\w*\s*"", ""$1""), IF(LEN(acronym) = 1, LEFT(B125, 2), acronym) &amp; C125 &amp; ""-s"")"),"CCásCE4-s")</f>
        <v>CCásCE4-s</v>
      </c>
      <c r="E125" s="3" t="s">
        <v>287</v>
      </c>
      <c r="F125" s="3" t="s">
        <v>288</v>
      </c>
      <c r="H125" s="9" t="str">
        <f t="shared" si="2"/>
        <v>grand-CCásCE4-s</v>
      </c>
    </row>
    <row r="126">
      <c r="A126" s="7" t="s">
        <v>512</v>
      </c>
      <c r="B126" s="2" t="s">
        <v>289</v>
      </c>
      <c r="C126" s="3" t="s">
        <v>62</v>
      </c>
      <c r="D126" s="10" t="str">
        <f>IFERROR(__xludf.DUMMYFUNCTION("LET(acronym, REGEXREPLACE(B126, ""(\w)\w*\s*"", ""$1""), IF(LEN(acronym) = 1, LEFT(B126, 2), acronym) &amp; C126 &amp; ""-s"")"),"LüísyS(ÁmLüísyS)CE1-s")</f>
        <v>LüísyS(ÁmLüísyS)CE1-s</v>
      </c>
      <c r="E126" s="3" t="s">
        <v>290</v>
      </c>
      <c r="F126" s="3" t="s">
        <v>291</v>
      </c>
      <c r="H126" s="9" t="str">
        <f t="shared" si="2"/>
        <v>grand-LüísyS(ÁmLüísyS)CE1-s</v>
      </c>
    </row>
    <row r="127">
      <c r="A127" s="7" t="s">
        <v>512</v>
      </c>
      <c r="B127" s="2" t="s">
        <v>292</v>
      </c>
      <c r="C127" s="3" t="s">
        <v>64</v>
      </c>
      <c r="D127" s="10" t="str">
        <f>IFERROR(__xludf.DUMMYFUNCTION("LET(acronym, REGEXREPLACE(B127, ""(\w)\w*\s*"", ""$1""), IF(LEN(acronym) = 1, LEFT(B127, 2), acronym) &amp; C127 &amp; ""-s"")"),"LüísySCE2-s")</f>
        <v>LüísySCE2-s</v>
      </c>
      <c r="E127" s="3" t="s">
        <v>293</v>
      </c>
      <c r="F127" s="3" t="s">
        <v>4</v>
      </c>
      <c r="H127" s="9" t="str">
        <f t="shared" si="2"/>
        <v>grand-LüísySCE2-s</v>
      </c>
    </row>
    <row r="128">
      <c r="A128" s="7" t="s">
        <v>512</v>
      </c>
      <c r="B128" s="2" t="s">
        <v>292</v>
      </c>
      <c r="C128" s="3" t="s">
        <v>66</v>
      </c>
      <c r="D128" s="10" t="str">
        <f>IFERROR(__xludf.DUMMYFUNCTION("LET(acronym, REGEXREPLACE(B128, ""(\w)\w*\s*"", ""$1""), IF(LEN(acronym) = 1, LEFT(B128, 2), acronym) &amp; C128 &amp; ""-s"")"),"LüísySCE3-s")</f>
        <v>LüísySCE3-s</v>
      </c>
      <c r="E128" s="3" t="s">
        <v>294</v>
      </c>
      <c r="F128" s="3" t="s">
        <v>295</v>
      </c>
      <c r="H128" s="9" t="str">
        <f t="shared" si="2"/>
        <v>grand-LüísySCE3-s</v>
      </c>
    </row>
    <row r="129">
      <c r="A129" s="7" t="s">
        <v>512</v>
      </c>
      <c r="B129" s="2" t="s">
        <v>292</v>
      </c>
      <c r="C129" s="3" t="s">
        <v>112</v>
      </c>
      <c r="D129" s="10" t="str">
        <f>IFERROR(__xludf.DUMMYFUNCTION("LET(acronym, REGEXREPLACE(B129, ""(\w)\w*\s*"", ""$1""), IF(LEN(acronym) = 1, LEFT(B129, 2), acronym) &amp; C129 &amp; ""-s"")"),"LüísySCE4-s")</f>
        <v>LüísySCE4-s</v>
      </c>
      <c r="E129" s="3" t="s">
        <v>296</v>
      </c>
      <c r="F129" s="3" t="s">
        <v>253</v>
      </c>
      <c r="H129" s="9" t="str">
        <f t="shared" si="2"/>
        <v>grand-LüísySCE4-s</v>
      </c>
    </row>
    <row r="130">
      <c r="A130" s="7" t="s">
        <v>512</v>
      </c>
      <c r="B130" s="2" t="s">
        <v>297</v>
      </c>
      <c r="C130" s="3" t="s">
        <v>62</v>
      </c>
      <c r="D130" s="10" t="str">
        <f>IFERROR(__xludf.DUMMYFUNCTION("LET(acronym, REGEXREPLACE(B130, ""(\w)\w*\s*"", ""$1""), IF(LEN(acronym) = 1, LEFT(B130, 2), acronym) &amp; C130 &amp; ""-s"")"),"Cíf-Tóg(ÁmCíf-Tóg)CE1-s")</f>
        <v>Cíf-Tóg(ÁmCíf-Tóg)CE1-s</v>
      </c>
      <c r="E130" s="3" t="s">
        <v>298</v>
      </c>
      <c r="F130" s="3" t="s">
        <v>24</v>
      </c>
      <c r="H130" s="9" t="str">
        <f t="shared" si="2"/>
        <v>grand-Cíf-Tóg(ÁmCíf-Tóg)CE1-s</v>
      </c>
    </row>
    <row r="131">
      <c r="A131" s="7" t="s">
        <v>512</v>
      </c>
      <c r="B131" s="2" t="s">
        <v>299</v>
      </c>
      <c r="C131" s="3" t="s">
        <v>64</v>
      </c>
      <c r="D131" s="10" t="str">
        <f>IFERROR(__xludf.DUMMYFUNCTION("LET(acronym, REGEXREPLACE(B131, ""(\w)\w*\s*"", ""$1""), IF(LEN(acronym) = 1, LEFT(B131, 2), acronym) &amp; C131 &amp; ""-s"")"),"Cíf-TógCE2-s")</f>
        <v>Cíf-TógCE2-s</v>
      </c>
      <c r="E131" s="3" t="s">
        <v>300</v>
      </c>
      <c r="F131" s="3" t="s">
        <v>301</v>
      </c>
      <c r="H131" s="9" t="str">
        <f t="shared" si="2"/>
        <v>grand-Cíf-TógCE2-s</v>
      </c>
    </row>
    <row r="132">
      <c r="A132" s="7" t="s">
        <v>512</v>
      </c>
      <c r="B132" s="2" t="s">
        <v>299</v>
      </c>
      <c r="C132" s="3" t="s">
        <v>66</v>
      </c>
      <c r="D132" s="10" t="str">
        <f>IFERROR(__xludf.DUMMYFUNCTION("LET(acronym, REGEXREPLACE(B132, ""(\w)\w*\s*"", ""$1""), IF(LEN(acronym) = 1, LEFT(B132, 2), acronym) &amp; C132 &amp; ""-s"")"),"Cíf-TógCE3-s")</f>
        <v>Cíf-TógCE3-s</v>
      </c>
      <c r="E132" s="3" t="s">
        <v>302</v>
      </c>
      <c r="F132" s="3" t="s">
        <v>139</v>
      </c>
      <c r="H132" s="9" t="str">
        <f t="shared" si="2"/>
        <v>grand-Cíf-TógCE3-s</v>
      </c>
    </row>
    <row r="133">
      <c r="A133" s="7" t="s">
        <v>512</v>
      </c>
      <c r="B133" s="2" t="s">
        <v>299</v>
      </c>
      <c r="C133" s="3" t="s">
        <v>112</v>
      </c>
      <c r="D133" s="10" t="str">
        <f>IFERROR(__xludf.DUMMYFUNCTION("LET(acronym, REGEXREPLACE(B133, ""(\w)\w*\s*"", ""$1""), IF(LEN(acronym) = 1, LEFT(B133, 2), acronym) &amp; C133 &amp; ""-s"")"),"Cíf-TógCE4-s")</f>
        <v>Cíf-TógCE4-s</v>
      </c>
      <c r="E133" s="3" t="s">
        <v>303</v>
      </c>
      <c r="F133" s="3" t="s">
        <v>134</v>
      </c>
      <c r="H133" s="9" t="str">
        <f t="shared" si="2"/>
        <v>grand-Cíf-TógCE4-s</v>
      </c>
    </row>
    <row r="134">
      <c r="A134" s="7" t="s">
        <v>512</v>
      </c>
      <c r="B134" s="2" t="s">
        <v>299</v>
      </c>
      <c r="C134" s="3" t="s">
        <v>115</v>
      </c>
      <c r="D134" s="10" t="str">
        <f>IFERROR(__xludf.DUMMYFUNCTION("LET(acronym, REGEXREPLACE(B134, ""(\w)\w*\s*"", ""$1""), IF(LEN(acronym) = 1, LEFT(B134, 2), acronym) &amp; C134 &amp; ""-s"")"),"Cíf-TógCE5-s")</f>
        <v>Cíf-TógCE5-s</v>
      </c>
      <c r="E134" s="3" t="s">
        <v>304</v>
      </c>
      <c r="F134" s="3" t="s">
        <v>146</v>
      </c>
      <c r="H134" s="9" t="str">
        <f t="shared" si="2"/>
        <v>grand-Cíf-TógCE5-s</v>
      </c>
    </row>
    <row r="135">
      <c r="A135" s="7" t="s">
        <v>513</v>
      </c>
      <c r="B135" s="2" t="s">
        <v>305</v>
      </c>
      <c r="C135" s="3" t="s">
        <v>62</v>
      </c>
      <c r="D135" s="10" t="str">
        <f>IFERROR(__xludf.DUMMYFUNCTION("LET(acronym, REGEXREPLACE(B135, ""(\w)\w*\s*"", ""$1""), IF(LEN(acronym) = 1, LEFT(B135, 2), acronym) &amp; C135 &amp; ""-b""  &amp; ""-alt"")"),"LCyLICE1-b-alt")</f>
        <v>LCyLICE1-b-alt</v>
      </c>
      <c r="E135" s="3" t="s">
        <v>306</v>
      </c>
      <c r="F135" s="3" t="s">
        <v>111</v>
      </c>
      <c r="H135" s="9" t="str">
        <f t="shared" si="2"/>
        <v>grand-LCyLICE1-b-alt</v>
      </c>
    </row>
    <row r="136">
      <c r="A136" s="7" t="s">
        <v>513</v>
      </c>
      <c r="B136" s="2" t="s">
        <v>305</v>
      </c>
      <c r="C136" s="3" t="s">
        <v>64</v>
      </c>
      <c r="D136" s="10" t="str">
        <f>IFERROR(__xludf.DUMMYFUNCTION("LET(acronym, REGEXREPLACE(B136, ""(\w)\w*\s*"", ""$1""), IF(LEN(acronym) = 1, LEFT(B136, 2), acronym) &amp; C136 &amp; ""-b""  &amp; ""-alt"")"),"LCyLICE2-b-alt")</f>
        <v>LCyLICE2-b-alt</v>
      </c>
      <c r="E136" s="3" t="s">
        <v>307</v>
      </c>
      <c r="F136" s="3" t="s">
        <v>114</v>
      </c>
      <c r="H136" s="9" t="str">
        <f t="shared" si="2"/>
        <v>grand-LCyLICE2-b-alt</v>
      </c>
    </row>
    <row r="137">
      <c r="A137" s="7" t="s">
        <v>513</v>
      </c>
      <c r="B137" s="2" t="s">
        <v>305</v>
      </c>
      <c r="C137" s="3" t="s">
        <v>66</v>
      </c>
      <c r="D137" s="10" t="str">
        <f>IFERROR(__xludf.DUMMYFUNCTION("LET(acronym, REGEXREPLACE(B137, ""(\w)\w*\s*"", ""$1""), IF(LEN(acronym) = 1, LEFT(B137, 2), acronym) &amp; C137 &amp; ""-b""  &amp; ""-alt"")"),"LCyLICE3-b-alt")</f>
        <v>LCyLICE3-b-alt</v>
      </c>
      <c r="E137" s="3" t="s">
        <v>308</v>
      </c>
      <c r="F137" s="3" t="s">
        <v>309</v>
      </c>
      <c r="H137" s="9" t="str">
        <f t="shared" si="2"/>
        <v>grand-LCyLICE3-b-alt</v>
      </c>
    </row>
    <row r="138">
      <c r="A138" s="7" t="s">
        <v>513</v>
      </c>
      <c r="B138" s="2" t="s">
        <v>305</v>
      </c>
      <c r="C138" s="3" t="s">
        <v>112</v>
      </c>
      <c r="D138" s="10" t="str">
        <f>IFERROR(__xludf.DUMMYFUNCTION("LET(acronym, REGEXREPLACE(B138, ""(\w)\w*\s*"", ""$1""), IF(LEN(acronym) = 1, LEFT(B138, 2), acronym) &amp; C138 &amp; ""-b""  &amp; ""-alt"")"),"LCyLICE4-b-alt")</f>
        <v>LCyLICE4-b-alt</v>
      </c>
      <c r="E138" s="3" t="s">
        <v>310</v>
      </c>
      <c r="F138" s="3" t="s">
        <v>8</v>
      </c>
      <c r="H138" s="9" t="str">
        <f t="shared" si="2"/>
        <v>grand-LCyLICE4-b-alt</v>
      </c>
    </row>
    <row r="139">
      <c r="A139" s="7" t="s">
        <v>513</v>
      </c>
      <c r="B139" s="2" t="s">
        <v>305</v>
      </c>
      <c r="C139" s="3" t="s">
        <v>115</v>
      </c>
      <c r="D139" s="10" t="str">
        <f>IFERROR(__xludf.DUMMYFUNCTION("LET(acronym, REGEXREPLACE(B139, ""(\w)\w*\s*"", ""$1""), IF(LEN(acronym) = 1, LEFT(B139, 2), acronym) &amp; C139 &amp; ""-b""  &amp; ""-alt"")"),"LCyLICE5-b-alt")</f>
        <v>LCyLICE5-b-alt</v>
      </c>
      <c r="E139" s="3" t="s">
        <v>311</v>
      </c>
      <c r="F139" s="3" t="s">
        <v>122</v>
      </c>
      <c r="H139" s="9" t="str">
        <f t="shared" si="2"/>
        <v>grand-LCyLICE5-b-alt</v>
      </c>
    </row>
    <row r="140">
      <c r="A140" s="7" t="s">
        <v>513</v>
      </c>
      <c r="B140" s="2" t="s">
        <v>312</v>
      </c>
      <c r="C140" s="3" t="s">
        <v>62</v>
      </c>
      <c r="D140" s="10" t="str">
        <f>IFERROR(__xludf.DUMMYFUNCTION("LET(acronym, REGEXREPLACE(B140, ""(\w)\w*\s*"", ""$1""), IF(LEN(acronym) = 1, LEFT(B140, 2), acronym) &amp; C140 &amp; ""-b"")"),"LCyLICE1-b")</f>
        <v>LCyLICE1-b</v>
      </c>
      <c r="E140" s="3" t="s">
        <v>313</v>
      </c>
      <c r="F140" s="3" t="s">
        <v>111</v>
      </c>
      <c r="H140" s="9" t="str">
        <f t="shared" si="2"/>
        <v>grand-LCyLICE1-b</v>
      </c>
    </row>
    <row r="141">
      <c r="A141" s="7" t="s">
        <v>513</v>
      </c>
      <c r="B141" s="2" t="s">
        <v>312</v>
      </c>
      <c r="C141" s="3" t="s">
        <v>64</v>
      </c>
      <c r="D141" s="10" t="str">
        <f>IFERROR(__xludf.DUMMYFUNCTION("LET(acronym, REGEXREPLACE(B141, ""(\w)\w*\s*"", ""$1""), IF(LEN(acronym) = 1, LEFT(B141, 2), acronym) &amp; C141 &amp; ""-b"")"),"LCyLICE2-b")</f>
        <v>LCyLICE2-b</v>
      </c>
      <c r="E141" s="3" t="s">
        <v>314</v>
      </c>
      <c r="F141" s="3" t="s">
        <v>114</v>
      </c>
      <c r="H141" s="9" t="str">
        <f t="shared" si="2"/>
        <v>grand-LCyLICE2-b</v>
      </c>
    </row>
    <row r="142">
      <c r="A142" s="7" t="s">
        <v>513</v>
      </c>
      <c r="B142" s="2" t="s">
        <v>312</v>
      </c>
      <c r="C142" s="3" t="s">
        <v>66</v>
      </c>
      <c r="D142" s="10" t="str">
        <f>IFERROR(__xludf.DUMMYFUNCTION("LET(acronym, REGEXREPLACE(B142, ""(\w)\w*\s*"", ""$1""), IF(LEN(acronym) = 1, LEFT(B142, 2), acronym) &amp; C142 &amp; ""-b"")"),"LCyLICE3-b")</f>
        <v>LCyLICE3-b</v>
      </c>
      <c r="E142" s="3" t="s">
        <v>315</v>
      </c>
      <c r="F142" s="3" t="s">
        <v>309</v>
      </c>
      <c r="H142" s="9" t="str">
        <f t="shared" si="2"/>
        <v>grand-LCyLICE3-b</v>
      </c>
    </row>
    <row r="143">
      <c r="A143" s="7" t="s">
        <v>513</v>
      </c>
      <c r="B143" s="2" t="s">
        <v>312</v>
      </c>
      <c r="C143" s="3" t="s">
        <v>112</v>
      </c>
      <c r="D143" s="10" t="str">
        <f>IFERROR(__xludf.DUMMYFUNCTION("LET(acronym, REGEXREPLACE(B143, ""(\w)\w*\s*"", ""$1""), IF(LEN(acronym) = 1, LEFT(B143, 2), acronym) &amp; C143 &amp; ""-b"")"),"LCyLICE4-b")</f>
        <v>LCyLICE4-b</v>
      </c>
      <c r="E143" s="3" t="s">
        <v>316</v>
      </c>
      <c r="F143" s="3" t="s">
        <v>122</v>
      </c>
      <c r="H143" s="9" t="str">
        <f t="shared" si="2"/>
        <v>grand-LCyLICE4-b</v>
      </c>
    </row>
    <row r="144">
      <c r="A144" s="7" t="s">
        <v>513</v>
      </c>
      <c r="B144" s="2" t="s">
        <v>312</v>
      </c>
      <c r="C144" s="3" t="s">
        <v>115</v>
      </c>
      <c r="D144" s="10" t="str">
        <f>IFERROR(__xludf.DUMMYFUNCTION("LET(acronym, REGEXREPLACE(B144, ""(\w)\w*\s*"", ""$1""), IF(LEN(acronym) = 1, LEFT(B144, 2), acronym) &amp; C144 &amp; ""-b"")"),"LCyLICE5-b")</f>
        <v>LCyLICE5-b</v>
      </c>
      <c r="E144" s="3" t="s">
        <v>317</v>
      </c>
      <c r="F144" s="3" t="s">
        <v>318</v>
      </c>
      <c r="H144" s="9" t="str">
        <f t="shared" si="2"/>
        <v>grand-LCyLICE5-b</v>
      </c>
    </row>
    <row r="145">
      <c r="A145" s="7" t="s">
        <v>513</v>
      </c>
      <c r="B145" s="2" t="s">
        <v>319</v>
      </c>
      <c r="C145" s="3" t="s">
        <v>62</v>
      </c>
      <c r="D145" s="10" t="str">
        <f>IFERROR(__xludf.DUMMYFUNCTION("LET(acronym, REGEXREPLACE(B145, ""(\w)\w*\s*"", ""$1""), IF(LEN(acronym) = 1, LEFT(B145, 2), acronym) &amp; C145 &amp; ""-b"")"),"FíaCE1-b")</f>
        <v>FíaCE1-b</v>
      </c>
      <c r="E145" s="3" t="s">
        <v>320</v>
      </c>
      <c r="F145" s="3" t="s">
        <v>321</v>
      </c>
      <c r="H145" s="9" t="str">
        <f t="shared" si="2"/>
        <v>grand-FíaCE1-b</v>
      </c>
    </row>
    <row r="146">
      <c r="A146" s="7" t="s">
        <v>513</v>
      </c>
      <c r="B146" s="2" t="s">
        <v>319</v>
      </c>
      <c r="C146" s="3" t="s">
        <v>64</v>
      </c>
      <c r="D146" s="10" t="str">
        <f>IFERROR(__xludf.DUMMYFUNCTION("LET(acronym, REGEXREPLACE(B146, ""(\w)\w*\s*"", ""$1""), IF(LEN(acronym) = 1, LEFT(B146, 2), acronym) &amp; C146 &amp; ""-b"")"),"FíaCE2-b")</f>
        <v>FíaCE2-b</v>
      </c>
      <c r="E146" s="3" t="s">
        <v>322</v>
      </c>
      <c r="F146" s="3" t="s">
        <v>323</v>
      </c>
      <c r="H146" s="9" t="str">
        <f t="shared" si="2"/>
        <v>grand-FíaCE2-b</v>
      </c>
    </row>
    <row r="147">
      <c r="A147" s="7" t="s">
        <v>513</v>
      </c>
      <c r="B147" s="2" t="s">
        <v>319</v>
      </c>
      <c r="C147" s="3" t="s">
        <v>66</v>
      </c>
      <c r="D147" s="10" t="str">
        <f>IFERROR(__xludf.DUMMYFUNCTION("LET(acronym, REGEXREPLACE(B147, ""(\w)\w*\s*"", ""$1""), IF(LEN(acronym) = 1, LEFT(B147, 2), acronym) &amp; C147 &amp; ""-b"")"),"FíaCE3-b")</f>
        <v>FíaCE3-b</v>
      </c>
      <c r="E147" s="3" t="s">
        <v>324</v>
      </c>
      <c r="F147" s="3" t="s">
        <v>111</v>
      </c>
      <c r="H147" s="9" t="str">
        <f t="shared" si="2"/>
        <v>grand-FíaCE3-b</v>
      </c>
    </row>
    <row r="148">
      <c r="A148" s="7" t="s">
        <v>513</v>
      </c>
      <c r="B148" s="2" t="s">
        <v>319</v>
      </c>
      <c r="C148" s="3" t="s">
        <v>112</v>
      </c>
      <c r="D148" s="10" t="str">
        <f>IFERROR(__xludf.DUMMYFUNCTION("LET(acronym, REGEXREPLACE(B148, ""(\w)\w*\s*"", ""$1""), IF(LEN(acronym) = 1, LEFT(B148, 2), acronym) &amp; C148 &amp; ""-b"")"),"FíaCE4-b")</f>
        <v>FíaCE4-b</v>
      </c>
      <c r="E148" s="3" t="s">
        <v>325</v>
      </c>
      <c r="F148" s="3" t="s">
        <v>154</v>
      </c>
      <c r="H148" s="9" t="str">
        <f t="shared" si="2"/>
        <v>grand-FíaCE4-b</v>
      </c>
    </row>
    <row r="149">
      <c r="A149" s="7" t="s">
        <v>513</v>
      </c>
      <c r="B149" s="2" t="s">
        <v>326</v>
      </c>
      <c r="C149" s="3" t="s">
        <v>62</v>
      </c>
      <c r="D149" s="10" t="str">
        <f>IFERROR(__xludf.DUMMYFUNCTION("LET(acronym, REGEXREPLACE(B149, ""(\w)\w*\s*"", ""$1""), IF(LEN(acronym) = 1, LEFT(B149, 2), acronym) &amp; C149 &amp; ""-b"")"),"HdlFíaCE1-b")</f>
        <v>HdlFíaCE1-b</v>
      </c>
      <c r="E149" s="3" t="s">
        <v>327</v>
      </c>
      <c r="F149" s="3" t="s">
        <v>243</v>
      </c>
      <c r="H149" s="9" t="str">
        <f t="shared" si="2"/>
        <v>grand-HdlFíaCE1-b</v>
      </c>
    </row>
    <row r="150">
      <c r="A150" s="7" t="s">
        <v>513</v>
      </c>
      <c r="B150" s="2" t="s">
        <v>326</v>
      </c>
      <c r="C150" s="3" t="s">
        <v>64</v>
      </c>
      <c r="D150" s="10" t="str">
        <f>IFERROR(__xludf.DUMMYFUNCTION("LET(acronym, REGEXREPLACE(B150, ""(\w)\w*\s*"", ""$1""), IF(LEN(acronym) = 1, LEFT(B150, 2), acronym) &amp; C150 &amp; ""-b"")"),"HdlFíaCE2-b")</f>
        <v>HdlFíaCE2-b</v>
      </c>
      <c r="E150" s="3" t="s">
        <v>328</v>
      </c>
      <c r="F150" s="3" t="s">
        <v>111</v>
      </c>
      <c r="H150" s="9" t="str">
        <f t="shared" si="2"/>
        <v>grand-HdlFíaCE2-b</v>
      </c>
    </row>
    <row r="151">
      <c r="A151" s="7" t="s">
        <v>513</v>
      </c>
      <c r="B151" s="2" t="s">
        <v>326</v>
      </c>
      <c r="C151" s="3" t="s">
        <v>66</v>
      </c>
      <c r="D151" s="10" t="str">
        <f>IFERROR(__xludf.DUMMYFUNCTION("LET(acronym, REGEXREPLACE(B151, ""(\w)\w*\s*"", ""$1""), IF(LEN(acronym) = 1, LEFT(B151, 2), acronym) &amp; C151 &amp; ""-b"")"),"HdlFíaCE3-b")</f>
        <v>HdlFíaCE3-b</v>
      </c>
      <c r="E151" s="3" t="s">
        <v>329</v>
      </c>
      <c r="F151" s="3" t="s">
        <v>184</v>
      </c>
      <c r="H151" s="9" t="str">
        <f t="shared" si="2"/>
        <v>grand-HdlFíaCE3-b</v>
      </c>
    </row>
    <row r="152">
      <c r="A152" s="7" t="s">
        <v>513</v>
      </c>
      <c r="B152" s="2" t="s">
        <v>326</v>
      </c>
      <c r="C152" s="3" t="s">
        <v>112</v>
      </c>
      <c r="D152" s="10" t="str">
        <f>IFERROR(__xludf.DUMMYFUNCTION("LET(acronym, REGEXREPLACE(B152, ""(\w)\w*\s*"", ""$1""), IF(LEN(acronym) = 1, LEFT(B152, 2), acronym) &amp; C152 &amp; ""-b"")"),"HdlFíaCE4-b")</f>
        <v>HdlFíaCE4-b</v>
      </c>
      <c r="E152" s="3" t="s">
        <v>330</v>
      </c>
      <c r="F152" s="3" t="s">
        <v>323</v>
      </c>
      <c r="H152" s="9" t="str">
        <f t="shared" si="2"/>
        <v>grand-HdlFíaCE4-b</v>
      </c>
    </row>
    <row r="153">
      <c r="A153" s="7" t="s">
        <v>513</v>
      </c>
      <c r="B153" s="2" t="s">
        <v>331</v>
      </c>
      <c r="C153" s="3" t="s">
        <v>62</v>
      </c>
      <c r="D153" s="10" t="str">
        <f>IFERROR(__xludf.DUMMYFUNCTION("LET(acronym, REGEXREPLACE(B153, ""(\w)\w*\s*"", ""$1""), IF(LEN(acronym) = 1, LEFT(B153, 2), acronym) &amp; C153 &amp; ""-b"")"),"HdEñaCE1-b")</f>
        <v>HdEñaCE1-b</v>
      </c>
      <c r="E153" s="3" t="s">
        <v>332</v>
      </c>
      <c r="F153" s="3" t="s">
        <v>219</v>
      </c>
      <c r="H153" s="9" t="str">
        <f t="shared" si="2"/>
        <v>grand-HdEñaCE1-b</v>
      </c>
    </row>
    <row r="154">
      <c r="A154" s="7" t="s">
        <v>513</v>
      </c>
      <c r="B154" s="2" t="s">
        <v>331</v>
      </c>
      <c r="C154" s="3" t="s">
        <v>64</v>
      </c>
      <c r="D154" s="10" t="str">
        <f>IFERROR(__xludf.DUMMYFUNCTION("LET(acronym, REGEXREPLACE(B154, ""(\w)\w*\s*"", ""$1""), IF(LEN(acronym) = 1, LEFT(B154, 2), acronym) &amp; C154 &amp; ""-b"")"),"HdEñaCE2-b")</f>
        <v>HdEñaCE2-b</v>
      </c>
      <c r="E154" s="3" t="s">
        <v>333</v>
      </c>
      <c r="F154" s="3" t="s">
        <v>222</v>
      </c>
      <c r="H154" s="9" t="str">
        <f t="shared" si="2"/>
        <v>grand-HdEñaCE2-b</v>
      </c>
    </row>
    <row r="155">
      <c r="A155" s="7" t="s">
        <v>513</v>
      </c>
      <c r="B155" s="2" t="s">
        <v>331</v>
      </c>
      <c r="C155" s="3" t="s">
        <v>66</v>
      </c>
      <c r="D155" s="10" t="str">
        <f>IFERROR(__xludf.DUMMYFUNCTION("LET(acronym, REGEXREPLACE(B155, ""(\w)\w*\s*"", ""$1""), IF(LEN(acronym) = 1, LEFT(B155, 2), acronym) &amp; C155 &amp; ""-b"")"),"HdEñaCE3-b")</f>
        <v>HdEñaCE3-b</v>
      </c>
      <c r="E155" s="3" t="s">
        <v>334</v>
      </c>
      <c r="F155" s="3" t="s">
        <v>219</v>
      </c>
      <c r="H155" s="9" t="str">
        <f t="shared" si="2"/>
        <v>grand-HdEñaCE3-b</v>
      </c>
    </row>
    <row r="156">
      <c r="A156" s="7" t="s">
        <v>513</v>
      </c>
      <c r="B156" s="2" t="s">
        <v>331</v>
      </c>
      <c r="C156" s="3" t="s">
        <v>112</v>
      </c>
      <c r="D156" s="10" t="str">
        <f>IFERROR(__xludf.DUMMYFUNCTION("LET(acronym, REGEXREPLACE(B156, ""(\w)\w*\s*"", ""$1""), IF(LEN(acronym) = 1, LEFT(B156, 2), acronym) &amp; C156 &amp; ""-b"")"),"HdEñaCE4-b")</f>
        <v>HdEñaCE4-b</v>
      </c>
      <c r="E156" s="3" t="s">
        <v>335</v>
      </c>
      <c r="F156" s="3" t="s">
        <v>336</v>
      </c>
      <c r="H156" s="9" t="str">
        <f t="shared" si="2"/>
        <v>grand-HdEñaCE4-b</v>
      </c>
    </row>
    <row r="157">
      <c r="A157" s="7" t="s">
        <v>513</v>
      </c>
      <c r="B157" s="2" t="s">
        <v>337</v>
      </c>
      <c r="C157" s="3" t="s">
        <v>62</v>
      </c>
      <c r="D157" s="10" t="str">
        <f>IFERROR(__xludf.DUMMYFUNCTION("LET(acronym, REGEXREPLACE(B157, ""(\w)\w*\s*"", ""$1""), IF(LEN(acronym) = 1, LEFT(B157, 2), acronym) &amp; C157 &amp; ""-b""  &amp; ""-alt"")"),"PLEICE1-b-alt")</f>
        <v>PLEICE1-b-alt</v>
      </c>
      <c r="E157" s="3" t="s">
        <v>338</v>
      </c>
      <c r="F157" s="3" t="s">
        <v>162</v>
      </c>
      <c r="H157" s="9" t="str">
        <f t="shared" si="2"/>
        <v>grand-PLEICE1-b-alt</v>
      </c>
    </row>
    <row r="158">
      <c r="A158" s="7" t="s">
        <v>513</v>
      </c>
      <c r="B158" s="2" t="s">
        <v>337</v>
      </c>
      <c r="C158" s="3" t="s">
        <v>64</v>
      </c>
      <c r="D158" s="10" t="str">
        <f>IFERROR(__xludf.DUMMYFUNCTION("LET(acronym, REGEXREPLACE(B158, ""(\w)\w*\s*"", ""$1""), IF(LEN(acronym) = 1, LEFT(B158, 2), acronym) &amp; C158 &amp; ""-b""  &amp; ""-alt"")"),"PLEICE2-b-alt")</f>
        <v>PLEICE2-b-alt</v>
      </c>
      <c r="E158" s="3" t="s">
        <v>339</v>
      </c>
      <c r="F158" s="3" t="s">
        <v>164</v>
      </c>
      <c r="H158" s="9" t="str">
        <f t="shared" si="2"/>
        <v>grand-PLEICE2-b-alt</v>
      </c>
    </row>
    <row r="159">
      <c r="A159" s="7" t="s">
        <v>513</v>
      </c>
      <c r="B159" s="2" t="s">
        <v>337</v>
      </c>
      <c r="C159" s="3" t="s">
        <v>66</v>
      </c>
      <c r="D159" s="10" t="str">
        <f>IFERROR(__xludf.DUMMYFUNCTION("LET(acronym, REGEXREPLACE(B159, ""(\w)\w*\s*"", ""$1""), IF(LEN(acronym) = 1, LEFT(B159, 2), acronym) &amp; C159 &amp; ""-b""  &amp; ""-alt"")"),"PLEICE3-b-alt")</f>
        <v>PLEICE3-b-alt</v>
      </c>
      <c r="E159" s="3" t="s">
        <v>340</v>
      </c>
      <c r="F159" s="3" t="s">
        <v>17</v>
      </c>
      <c r="H159" s="9" t="str">
        <f t="shared" si="2"/>
        <v>grand-PLEICE3-b-alt</v>
      </c>
    </row>
    <row r="160">
      <c r="A160" s="7" t="s">
        <v>513</v>
      </c>
      <c r="B160" s="2" t="s">
        <v>337</v>
      </c>
      <c r="C160" s="3" t="s">
        <v>112</v>
      </c>
      <c r="D160" s="10" t="str">
        <f>IFERROR(__xludf.DUMMYFUNCTION("LET(acronym, REGEXREPLACE(B160, ""(\w)\w*\s*"", ""$1""), IF(LEN(acronym) = 1, LEFT(B160, 2), acronym) &amp; C160 &amp; ""-b""  &amp; ""-alt"")"),"PLEICE4-b-alt")</f>
        <v>PLEICE4-b-alt</v>
      </c>
      <c r="E160" s="3" t="s">
        <v>341</v>
      </c>
      <c r="F160" s="3" t="s">
        <v>168</v>
      </c>
      <c r="H160" s="9" t="str">
        <f t="shared" si="2"/>
        <v>grand-PLEICE4-b-alt</v>
      </c>
    </row>
    <row r="161">
      <c r="A161" s="7" t="s">
        <v>513</v>
      </c>
      <c r="B161" s="2" t="s">
        <v>342</v>
      </c>
      <c r="C161" s="3" t="s">
        <v>62</v>
      </c>
      <c r="D161" s="10" t="str">
        <f>IFERROR(__xludf.DUMMYFUNCTION("LET(acronym, REGEXREPLACE(B161, ""(\w)\w*\s*"", ""$1""), IF(LEN(acronym) = 1, LEFT(B161, 2), acronym) &amp; C161 &amp; ""-b"")"),"PLEICE1-b")</f>
        <v>PLEICE1-b</v>
      </c>
      <c r="E161" s="3" t="s">
        <v>343</v>
      </c>
      <c r="F161" s="3" t="s">
        <v>162</v>
      </c>
      <c r="H161" s="9" t="str">
        <f t="shared" si="2"/>
        <v>grand-PLEICE1-b</v>
      </c>
    </row>
    <row r="162">
      <c r="A162" s="7" t="s">
        <v>513</v>
      </c>
      <c r="B162" s="2" t="s">
        <v>342</v>
      </c>
      <c r="C162" s="3" t="s">
        <v>64</v>
      </c>
      <c r="D162" s="10" t="str">
        <f>IFERROR(__xludf.DUMMYFUNCTION("LET(acronym, REGEXREPLACE(B162, ""(\w)\w*\s*"", ""$1""), IF(LEN(acronym) = 1, LEFT(B162, 2), acronym) &amp; C162 &amp; ""-b"")"),"PLEICE2-b")</f>
        <v>PLEICE2-b</v>
      </c>
      <c r="E162" s="3" t="s">
        <v>344</v>
      </c>
      <c r="F162" s="3" t="s">
        <v>164</v>
      </c>
      <c r="H162" s="9" t="str">
        <f t="shared" si="2"/>
        <v>grand-PLEICE2-b</v>
      </c>
    </row>
    <row r="163">
      <c r="A163" s="7" t="s">
        <v>513</v>
      </c>
      <c r="B163" s="2" t="s">
        <v>342</v>
      </c>
      <c r="C163" s="3" t="s">
        <v>66</v>
      </c>
      <c r="D163" s="10" t="str">
        <f>IFERROR(__xludf.DUMMYFUNCTION("LET(acronym, REGEXREPLACE(B163, ""(\w)\w*\s*"", ""$1""), IF(LEN(acronym) = 1, LEFT(B163, 2), acronym) &amp; C163 &amp; ""-b"")"),"PLEICE3-b")</f>
        <v>PLEICE3-b</v>
      </c>
      <c r="E163" s="3" t="s">
        <v>345</v>
      </c>
      <c r="F163" s="3" t="s">
        <v>164</v>
      </c>
      <c r="H163" s="9" t="str">
        <f t="shared" si="2"/>
        <v>grand-PLEICE3-b</v>
      </c>
    </row>
    <row r="164">
      <c r="A164" s="7" t="s">
        <v>513</v>
      </c>
      <c r="B164" s="2" t="s">
        <v>342</v>
      </c>
      <c r="C164" s="3" t="s">
        <v>112</v>
      </c>
      <c r="D164" s="10" t="str">
        <f>IFERROR(__xludf.DUMMYFUNCTION("LET(acronym, REGEXREPLACE(B164, ""(\w)\w*\s*"", ""$1""), IF(LEN(acronym) = 1, LEFT(B164, 2), acronym) &amp; C164 &amp; ""-b"")"),"PLEICE4-b")</f>
        <v>PLEICE4-b</v>
      </c>
      <c r="E164" s="3" t="s">
        <v>346</v>
      </c>
      <c r="F164" s="3" t="s">
        <v>170</v>
      </c>
      <c r="H164" s="9" t="str">
        <f t="shared" si="2"/>
        <v>grand-PLEICE4-b</v>
      </c>
    </row>
    <row r="165">
      <c r="A165" s="7" t="s">
        <v>513</v>
      </c>
      <c r="B165" s="2" t="s">
        <v>347</v>
      </c>
      <c r="C165" s="3" t="s">
        <v>62</v>
      </c>
      <c r="D165" s="10" t="str">
        <f>IFERROR(__xludf.DUMMYFUNCTION("LET(acronym, REGEXREPLACE(B165, ""(\w)\w*\s*"", ""$1""), IF(LEN(acronym) = 1, LEFT(B165, 2), acronym) &amp; C165 &amp; ""-b""  &amp; ""-alt"")"),"MátICE1-b-alt")</f>
        <v>MátICE1-b-alt</v>
      </c>
      <c r="E165" s="3" t="s">
        <v>348</v>
      </c>
      <c r="F165" s="3" t="s">
        <v>22</v>
      </c>
      <c r="H165" s="9" t="str">
        <f t="shared" si="2"/>
        <v>grand-MátICE1-b-alt</v>
      </c>
    </row>
    <row r="166">
      <c r="A166" s="7" t="s">
        <v>513</v>
      </c>
      <c r="B166" s="2" t="s">
        <v>347</v>
      </c>
      <c r="C166" s="3" t="s">
        <v>64</v>
      </c>
      <c r="D166" s="10" t="str">
        <f>IFERROR(__xludf.DUMMYFUNCTION("LET(acronym, REGEXREPLACE(B166, ""(\w)\w*\s*"", ""$1""), IF(LEN(acronym) = 1, LEFT(B166, 2), acronym) &amp; C166 &amp; ""-b""  &amp; ""-alt"")"),"MátICE2-b-alt")</f>
        <v>MátICE2-b-alt</v>
      </c>
      <c r="E166" s="3" t="s">
        <v>349</v>
      </c>
      <c r="F166" s="3" t="s">
        <v>28</v>
      </c>
      <c r="H166" s="9" t="str">
        <f t="shared" si="2"/>
        <v>grand-MátICE2-b-alt</v>
      </c>
    </row>
    <row r="167">
      <c r="A167" s="7" t="s">
        <v>513</v>
      </c>
      <c r="B167" s="2" t="s">
        <v>347</v>
      </c>
      <c r="C167" s="3" t="s">
        <v>66</v>
      </c>
      <c r="D167" s="10" t="str">
        <f>IFERROR(__xludf.DUMMYFUNCTION("LET(acronym, REGEXREPLACE(B167, ""(\w)\w*\s*"", ""$1""), IF(LEN(acronym) = 1, LEFT(B167, 2), acronym) &amp; C167 &amp; ""-b""  &amp; ""-alt"")"),"MátICE3-b-alt")</f>
        <v>MátICE3-b-alt</v>
      </c>
      <c r="E167" s="3" t="s">
        <v>350</v>
      </c>
      <c r="F167" s="3" t="s">
        <v>22</v>
      </c>
      <c r="H167" s="9" t="str">
        <f t="shared" si="2"/>
        <v>grand-MátICE3-b-alt</v>
      </c>
    </row>
    <row r="168">
      <c r="A168" s="7" t="s">
        <v>513</v>
      </c>
      <c r="B168" s="2" t="s">
        <v>347</v>
      </c>
      <c r="C168" s="3" t="s">
        <v>112</v>
      </c>
      <c r="D168" s="10" t="str">
        <f>IFERROR(__xludf.DUMMYFUNCTION("LET(acronym, REGEXREPLACE(B168, ""(\w)\w*\s*"", ""$1""), IF(LEN(acronym) = 1, LEFT(B168, 2), acronym) &amp; C168 &amp; ""-b""  &amp; ""-alt"")"),"MátICE4-b-alt")</f>
        <v>MátICE4-b-alt</v>
      </c>
      <c r="E168" s="3" t="s">
        <v>351</v>
      </c>
      <c r="F168" s="3" t="s">
        <v>134</v>
      </c>
      <c r="H168" s="9" t="str">
        <f t="shared" si="2"/>
        <v>grand-MátICE4-b-alt</v>
      </c>
    </row>
    <row r="169">
      <c r="A169" s="7" t="s">
        <v>513</v>
      </c>
      <c r="B169" s="2" t="s">
        <v>352</v>
      </c>
      <c r="C169" s="3" t="s">
        <v>62</v>
      </c>
      <c r="D169" s="10" t="str">
        <f>IFERROR(__xludf.DUMMYFUNCTION("LET(acronym, REGEXREPLACE(B169, ""(\w)\w*\s*"", ""$1""), IF(LEN(acronym) = 1, LEFT(B169, 2), acronym) &amp; C169 &amp; ""-b"")"),"MátICE1-b")</f>
        <v>MátICE1-b</v>
      </c>
      <c r="E169" s="3" t="s">
        <v>353</v>
      </c>
      <c r="F169" s="3" t="s">
        <v>22</v>
      </c>
      <c r="H169" s="9" t="str">
        <f t="shared" si="2"/>
        <v>grand-MátICE1-b</v>
      </c>
    </row>
    <row r="170">
      <c r="A170" s="7" t="s">
        <v>513</v>
      </c>
      <c r="B170" s="2" t="s">
        <v>352</v>
      </c>
      <c r="C170" s="3" t="s">
        <v>64</v>
      </c>
      <c r="D170" s="10" t="str">
        <f>IFERROR(__xludf.DUMMYFUNCTION("LET(acronym, REGEXREPLACE(B170, ""(\w)\w*\s*"", ""$1""), IF(LEN(acronym) = 1, LEFT(B170, 2), acronym) &amp; C170 &amp; ""-b"")"),"MátICE2-b")</f>
        <v>MátICE2-b</v>
      </c>
      <c r="E170" s="3" t="s">
        <v>354</v>
      </c>
      <c r="F170" s="3" t="s">
        <v>22</v>
      </c>
      <c r="H170" s="9" t="str">
        <f t="shared" si="2"/>
        <v>grand-MátICE2-b</v>
      </c>
    </row>
    <row r="171">
      <c r="A171" s="7" t="s">
        <v>513</v>
      </c>
      <c r="B171" s="2" t="s">
        <v>352</v>
      </c>
      <c r="C171" s="3" t="s">
        <v>66</v>
      </c>
      <c r="D171" s="10" t="str">
        <f>IFERROR(__xludf.DUMMYFUNCTION("LET(acronym, REGEXREPLACE(B171, ""(\w)\w*\s*"", ""$1""), IF(LEN(acronym) = 1, LEFT(B171, 2), acronym) &amp; C171 &amp; ""-b"")"),"MátICE3-b")</f>
        <v>MátICE3-b</v>
      </c>
      <c r="E171" s="3" t="s">
        <v>355</v>
      </c>
      <c r="F171" s="3" t="s">
        <v>28</v>
      </c>
      <c r="H171" s="9" t="str">
        <f t="shared" si="2"/>
        <v>grand-MátICE3-b</v>
      </c>
    </row>
    <row r="172">
      <c r="A172" s="7" t="s">
        <v>513</v>
      </c>
      <c r="B172" s="2" t="s">
        <v>352</v>
      </c>
      <c r="C172" s="3" t="s">
        <v>112</v>
      </c>
      <c r="D172" s="10" t="str">
        <f>IFERROR(__xludf.DUMMYFUNCTION("LET(acronym, REGEXREPLACE(B172, ""(\w)\w*\s*"", ""$1""), IF(LEN(acronym) = 1, LEFT(B172, 2), acronym) &amp; C172 &amp; ""-b"")"),"MátICE4-b")</f>
        <v>MátICE4-b</v>
      </c>
      <c r="E172" s="3" t="s">
        <v>356</v>
      </c>
      <c r="F172" s="3" t="s">
        <v>134</v>
      </c>
      <c r="H172" s="9" t="str">
        <f t="shared" si="2"/>
        <v>grand-MátICE4-b</v>
      </c>
    </row>
    <row r="173">
      <c r="A173" s="7" t="s">
        <v>513</v>
      </c>
      <c r="B173" s="2" t="s">
        <v>357</v>
      </c>
      <c r="C173" s="3" t="s">
        <v>62</v>
      </c>
      <c r="D173" s="10" t="str">
        <f>IFERROR(__xludf.DUMMYFUNCTION("LET(acronym, REGEXREPLACE(B173, ""(\w)\w*\s*"", ""$1""), IF(LEN(acronym) = 1, LEFT(B173, 2), acronym) &amp; C173 &amp; ""-b""  &amp; ""-alt"")"),"MátAalCICE1-b-alt")</f>
        <v>MátAalCICE1-b-alt</v>
      </c>
      <c r="E173" s="3" t="s">
        <v>358</v>
      </c>
      <c r="F173" s="3" t="s">
        <v>359</v>
      </c>
      <c r="H173" s="9" t="str">
        <f t="shared" si="2"/>
        <v>grand-MátAalCICE1-b-alt</v>
      </c>
    </row>
    <row r="174">
      <c r="A174" s="7" t="s">
        <v>513</v>
      </c>
      <c r="B174" s="2" t="s">
        <v>357</v>
      </c>
      <c r="C174" s="3" t="s">
        <v>64</v>
      </c>
      <c r="D174" s="10" t="str">
        <f>IFERROR(__xludf.DUMMYFUNCTION("LET(acronym, REGEXREPLACE(B174, ""(\w)\w*\s*"", ""$1""), IF(LEN(acronym) = 1, LEFT(B174, 2), acronym) &amp; C174 &amp; ""-b""  &amp; ""-alt"")"),"MátAalCICE2-b-alt")</f>
        <v>MátAalCICE2-b-alt</v>
      </c>
      <c r="E174" s="3" t="s">
        <v>360</v>
      </c>
      <c r="F174" s="3" t="s">
        <v>28</v>
      </c>
      <c r="H174" s="9" t="str">
        <f t="shared" si="2"/>
        <v>grand-MátAalCICE2-b-alt</v>
      </c>
    </row>
    <row r="175">
      <c r="A175" s="7" t="s">
        <v>513</v>
      </c>
      <c r="B175" s="2" t="s">
        <v>357</v>
      </c>
      <c r="C175" s="3" t="s">
        <v>66</v>
      </c>
      <c r="D175" s="10" t="str">
        <f>IFERROR(__xludf.DUMMYFUNCTION("LET(acronym, REGEXREPLACE(B175, ""(\w)\w*\s*"", ""$1""), IF(LEN(acronym) = 1, LEFT(B175, 2), acronym) &amp; C175 &amp; ""-b""  &amp; ""-alt"")"),"MátAalCICE3-b-alt")</f>
        <v>MátAalCICE3-b-alt</v>
      </c>
      <c r="E175" s="3" t="s">
        <v>361</v>
      </c>
      <c r="F175" s="3" t="s">
        <v>35</v>
      </c>
      <c r="H175" s="9" t="str">
        <f t="shared" si="2"/>
        <v>grand-MátAalCICE3-b-alt</v>
      </c>
    </row>
    <row r="176">
      <c r="A176" s="7" t="s">
        <v>513</v>
      </c>
      <c r="B176" s="2" t="s">
        <v>357</v>
      </c>
      <c r="C176" s="3" t="s">
        <v>112</v>
      </c>
      <c r="D176" s="10" t="str">
        <f>IFERROR(__xludf.DUMMYFUNCTION("LET(acronym, REGEXREPLACE(B176, ""(\w)\w*\s*"", ""$1""), IF(LEN(acronym) = 1, LEFT(B176, 2), acronym) &amp; C176 &amp; ""-b""  &amp; ""-alt"")"),"MátAalCICE4-b-alt")</f>
        <v>MátAalCICE4-b-alt</v>
      </c>
      <c r="E176" s="3" t="s">
        <v>362</v>
      </c>
      <c r="F176" s="3" t="s">
        <v>22</v>
      </c>
      <c r="H176" s="9" t="str">
        <f t="shared" si="2"/>
        <v>grand-MátAalCICE4-b-alt</v>
      </c>
    </row>
    <row r="177">
      <c r="A177" s="7" t="s">
        <v>513</v>
      </c>
      <c r="B177" s="2" t="s">
        <v>363</v>
      </c>
      <c r="C177" s="3" t="s">
        <v>62</v>
      </c>
      <c r="D177" s="10" t="str">
        <f>IFERROR(__xludf.DUMMYFUNCTION("LET(acronym, REGEXREPLACE(B177, ""(\w)\w*\s*"", ""$1""), IF(LEN(acronym) = 1, LEFT(B177, 2), acronym) &amp; C177 &amp; ""-b"")"),"MátAalCICE1-b")</f>
        <v>MátAalCICE1-b</v>
      </c>
      <c r="E177" s="3" t="s">
        <v>364</v>
      </c>
      <c r="F177" s="3" t="s">
        <v>28</v>
      </c>
      <c r="H177" s="9" t="str">
        <f t="shared" si="2"/>
        <v>grand-MátAalCICE1-b</v>
      </c>
    </row>
    <row r="178">
      <c r="A178" s="7" t="s">
        <v>513</v>
      </c>
      <c r="B178" s="2" t="s">
        <v>363</v>
      </c>
      <c r="C178" s="3" t="s">
        <v>64</v>
      </c>
      <c r="D178" s="10" t="str">
        <f>IFERROR(__xludf.DUMMYFUNCTION("LET(acronym, REGEXREPLACE(B178, ""(\w)\w*\s*"", ""$1""), IF(LEN(acronym) = 1, LEFT(B178, 2), acronym) &amp; C178 &amp; ""-b"")"),"MátAalCICE2-b")</f>
        <v>MátAalCICE2-b</v>
      </c>
      <c r="E178" s="3" t="s">
        <v>365</v>
      </c>
      <c r="F178" s="3" t="s">
        <v>366</v>
      </c>
      <c r="H178" s="9" t="str">
        <f t="shared" si="2"/>
        <v>grand-MátAalCICE2-b</v>
      </c>
    </row>
    <row r="179">
      <c r="A179" s="7" t="s">
        <v>513</v>
      </c>
      <c r="B179" s="2" t="s">
        <v>363</v>
      </c>
      <c r="C179" s="3" t="s">
        <v>66</v>
      </c>
      <c r="D179" s="10" t="str">
        <f>IFERROR(__xludf.DUMMYFUNCTION("LET(acronym, REGEXREPLACE(B179, ""(\w)\w*\s*"", ""$1""), IF(LEN(acronym) = 1, LEFT(B179, 2), acronym) &amp; C179 &amp; ""-b"")"),"MátAalCICE3-b")</f>
        <v>MátAalCICE3-b</v>
      </c>
      <c r="E179" s="3" t="s">
        <v>367</v>
      </c>
      <c r="F179" s="3" t="s">
        <v>35</v>
      </c>
      <c r="H179" s="9" t="str">
        <f t="shared" si="2"/>
        <v>grand-MátAalCICE3-b</v>
      </c>
    </row>
    <row r="180">
      <c r="A180" s="7" t="s">
        <v>513</v>
      </c>
      <c r="B180" s="2" t="s">
        <v>363</v>
      </c>
      <c r="C180" s="3" t="s">
        <v>112</v>
      </c>
      <c r="D180" s="10" t="str">
        <f>IFERROR(__xludf.DUMMYFUNCTION("LET(acronym, REGEXREPLACE(B180, ""(\w)\w*\s*"", ""$1""), IF(LEN(acronym) = 1, LEFT(B180, 2), acronym) &amp; C180 &amp; ""-b"")"),"MátAalCICE4-b")</f>
        <v>MátAalCICE4-b</v>
      </c>
      <c r="E180" s="3" t="s">
        <v>368</v>
      </c>
      <c r="F180" s="3" t="s">
        <v>295</v>
      </c>
      <c r="H180" s="9" t="str">
        <f t="shared" si="2"/>
        <v>grand-MátAalCICE4-b</v>
      </c>
    </row>
    <row r="181">
      <c r="A181" s="7" t="s">
        <v>513</v>
      </c>
      <c r="B181" s="2" t="s">
        <v>369</v>
      </c>
      <c r="C181" s="3" t="s">
        <v>62</v>
      </c>
      <c r="D181" s="10" t="str">
        <f>IFERROR(__xludf.DUMMYFUNCTION("LET(acronym, REGEXREPLACE(B181, ""(\w)\w*\s*"", ""$1""), IF(LEN(acronym) = 1, LEFT(B181, 2), acronym) &amp; C181 &amp; ""-b"")"),"FísCE1-b")</f>
        <v>FísCE1-b</v>
      </c>
      <c r="E181" s="3" t="s">
        <v>370</v>
      </c>
      <c r="F181" s="3" t="s">
        <v>24</v>
      </c>
      <c r="H181" s="9" t="str">
        <f t="shared" si="2"/>
        <v>grand-FísCE1-b</v>
      </c>
    </row>
    <row r="182">
      <c r="A182" s="7" t="s">
        <v>513</v>
      </c>
      <c r="B182" s="2" t="s">
        <v>369</v>
      </c>
      <c r="C182" s="3" t="s">
        <v>64</v>
      </c>
      <c r="D182" s="10" t="str">
        <f>IFERROR(__xludf.DUMMYFUNCTION("LET(acronym, REGEXREPLACE(B182, ""(\w)\w*\s*"", ""$1""), IF(LEN(acronym) = 1, LEFT(B182, 2), acronym) &amp; C182 &amp; ""-b"")"),"FísCE2-b")</f>
        <v>FísCE2-b</v>
      </c>
      <c r="E182" s="3" t="s">
        <v>371</v>
      </c>
      <c r="F182" s="3" t="s">
        <v>22</v>
      </c>
      <c r="H182" s="9" t="str">
        <f t="shared" si="2"/>
        <v>grand-FísCE2-b</v>
      </c>
    </row>
    <row r="183">
      <c r="A183" s="7" t="s">
        <v>513</v>
      </c>
      <c r="B183" s="2" t="s">
        <v>369</v>
      </c>
      <c r="C183" s="3" t="s">
        <v>66</v>
      </c>
      <c r="D183" s="10" t="str">
        <f>IFERROR(__xludf.DUMMYFUNCTION("LET(acronym, REGEXREPLACE(B183, ""(\w)\w*\s*"", ""$1""), IF(LEN(acronym) = 1, LEFT(B183, 2), acronym) &amp; C183 &amp; ""-b"")"),"FísCE3-b")</f>
        <v>FísCE3-b</v>
      </c>
      <c r="E183" s="3" t="s">
        <v>372</v>
      </c>
      <c r="F183" s="3" t="s">
        <v>141</v>
      </c>
      <c r="H183" s="9" t="str">
        <f t="shared" si="2"/>
        <v>grand-FísCE3-b</v>
      </c>
    </row>
    <row r="184">
      <c r="A184" s="7" t="s">
        <v>513</v>
      </c>
      <c r="B184" s="2" t="s">
        <v>369</v>
      </c>
      <c r="C184" s="3" t="s">
        <v>112</v>
      </c>
      <c r="D184" s="10" t="str">
        <f>IFERROR(__xludf.DUMMYFUNCTION("LET(acronym, REGEXREPLACE(B184, ""(\w)\w*\s*"", ""$1""), IF(LEN(acronym) = 1, LEFT(B184, 2), acronym) &amp; C184 &amp; ""-b"")"),"FísCE4-b")</f>
        <v>FísCE4-b</v>
      </c>
      <c r="E184" s="3" t="s">
        <v>373</v>
      </c>
      <c r="F184" s="3" t="s">
        <v>134</v>
      </c>
      <c r="H184" s="9" t="str">
        <f t="shared" si="2"/>
        <v>grand-FísCE4-b</v>
      </c>
    </row>
    <row r="185">
      <c r="A185" s="7" t="s">
        <v>513</v>
      </c>
      <c r="B185" s="2" t="s">
        <v>374</v>
      </c>
      <c r="C185" s="3" t="s">
        <v>62</v>
      </c>
      <c r="D185" s="10" t="str">
        <f>IFERROR(__xludf.DUMMYFUNCTION("LET(acronym, REGEXREPLACE(B185, ""(\w)\w*\s*"", ""$1""), IF(LEN(acronym) = 1, LEFT(B185, 2), acronym) &amp; C185 &amp; ""-b"")"),"QímCE1-b")</f>
        <v>QímCE1-b</v>
      </c>
      <c r="E185" s="3" t="s">
        <v>375</v>
      </c>
      <c r="F185" s="3" t="s">
        <v>24</v>
      </c>
      <c r="H185" s="9" t="str">
        <f t="shared" si="2"/>
        <v>grand-QímCE1-b</v>
      </c>
    </row>
    <row r="186">
      <c r="A186" s="7" t="s">
        <v>513</v>
      </c>
      <c r="B186" s="2" t="s">
        <v>374</v>
      </c>
      <c r="C186" s="3" t="s">
        <v>64</v>
      </c>
      <c r="D186" s="10" t="str">
        <f>IFERROR(__xludf.DUMMYFUNCTION("LET(acronym, REGEXREPLACE(B186, ""(\w)\w*\s*"", ""$1""), IF(LEN(acronym) = 1, LEFT(B186, 2), acronym) &amp; C186 &amp; ""-b"")"),"QímCE2-b")</f>
        <v>QímCE2-b</v>
      </c>
      <c r="E186" s="3" t="s">
        <v>376</v>
      </c>
      <c r="F186" s="3" t="s">
        <v>22</v>
      </c>
      <c r="H186" s="9" t="str">
        <f t="shared" si="2"/>
        <v>grand-QímCE2-b</v>
      </c>
    </row>
    <row r="187">
      <c r="A187" s="7" t="s">
        <v>513</v>
      </c>
      <c r="B187" s="2" t="s">
        <v>374</v>
      </c>
      <c r="C187" s="3" t="s">
        <v>66</v>
      </c>
      <c r="D187" s="10" t="str">
        <f>IFERROR(__xludf.DUMMYFUNCTION("LET(acronym, REGEXREPLACE(B187, ""(\w)\w*\s*"", ""$1""), IF(LEN(acronym) = 1, LEFT(B187, 2), acronym) &amp; C187 &amp; ""-b"")"),"QímCE3-b")</f>
        <v>QímCE3-b</v>
      </c>
      <c r="E187" s="3" t="s">
        <v>377</v>
      </c>
      <c r="F187" s="3" t="s">
        <v>24</v>
      </c>
      <c r="H187" s="9" t="str">
        <f t="shared" si="2"/>
        <v>grand-QímCE3-b</v>
      </c>
    </row>
    <row r="188">
      <c r="A188" s="7" t="s">
        <v>513</v>
      </c>
      <c r="B188" s="2" t="s">
        <v>374</v>
      </c>
      <c r="C188" s="3" t="s">
        <v>112</v>
      </c>
      <c r="D188" s="10" t="str">
        <f>IFERROR(__xludf.DUMMYFUNCTION("LET(acronym, REGEXREPLACE(B188, ""(\w)\w*\s*"", ""$1""), IF(LEN(acronym) = 1, LEFT(B188, 2), acronym) &amp; C188 &amp; ""-b"")"),"QímCE4-b")</f>
        <v>QímCE4-b</v>
      </c>
      <c r="E188" s="3" t="s">
        <v>378</v>
      </c>
      <c r="F188" s="3" t="s">
        <v>146</v>
      </c>
      <c r="H188" s="9" t="str">
        <f t="shared" si="2"/>
        <v>grand-QímCE4-b</v>
      </c>
    </row>
    <row r="189">
      <c r="A189" s="7" t="s">
        <v>513</v>
      </c>
      <c r="B189" s="2" t="s">
        <v>379</v>
      </c>
      <c r="C189" s="3" t="s">
        <v>62</v>
      </c>
      <c r="D189" s="10" t="str">
        <f>IFERROR(__xludf.DUMMYFUNCTION("LET(acronym, REGEXREPLACE(B189, ""(\w)\w*\s*"", ""$1""), IF(LEN(acronym) = 1, LEFT(B189, 2), acronym) &amp; C189 &amp; ""-b"")"),"BíaCE1-b")</f>
        <v>BíaCE1-b</v>
      </c>
      <c r="E189" s="3" t="s">
        <v>380</v>
      </c>
      <c r="F189" s="3" t="s">
        <v>24</v>
      </c>
      <c r="H189" s="9" t="str">
        <f t="shared" si="2"/>
        <v>grand-BíaCE1-b</v>
      </c>
    </row>
    <row r="190">
      <c r="A190" s="7" t="s">
        <v>513</v>
      </c>
      <c r="B190" s="2" t="s">
        <v>379</v>
      </c>
      <c r="C190" s="3" t="s">
        <v>64</v>
      </c>
      <c r="D190" s="10" t="str">
        <f>IFERROR(__xludf.DUMMYFUNCTION("LET(acronym, REGEXREPLACE(B190, ""(\w)\w*\s*"", ""$1""), IF(LEN(acronym) = 1, LEFT(B190, 2), acronym) &amp; C190 &amp; ""-b"")"),"BíaCE2-b")</f>
        <v>BíaCE2-b</v>
      </c>
      <c r="E190" s="3" t="s">
        <v>381</v>
      </c>
      <c r="F190" s="3" t="s">
        <v>24</v>
      </c>
      <c r="H190" s="9" t="str">
        <f t="shared" si="2"/>
        <v>grand-BíaCE2-b</v>
      </c>
    </row>
    <row r="191">
      <c r="A191" s="7" t="s">
        <v>513</v>
      </c>
      <c r="B191" s="2" t="s">
        <v>379</v>
      </c>
      <c r="C191" s="3" t="s">
        <v>66</v>
      </c>
      <c r="D191" s="10" t="str">
        <f>IFERROR(__xludf.DUMMYFUNCTION("LET(acronym, REGEXREPLACE(B191, ""(\w)\w*\s*"", ""$1""), IF(LEN(acronym) = 1, LEFT(B191, 2), acronym) &amp; C191 &amp; ""-b"")"),"BíaCE3-b")</f>
        <v>BíaCE3-b</v>
      </c>
      <c r="E191" s="3" t="s">
        <v>382</v>
      </c>
      <c r="F191" s="3" t="s">
        <v>141</v>
      </c>
      <c r="H191" s="9" t="str">
        <f t="shared" si="2"/>
        <v>grand-BíaCE3-b</v>
      </c>
    </row>
    <row r="192">
      <c r="A192" s="7" t="s">
        <v>513</v>
      </c>
      <c r="B192" s="2" t="s">
        <v>379</v>
      </c>
      <c r="C192" s="3" t="s">
        <v>112</v>
      </c>
      <c r="D192" s="10" t="str">
        <f>IFERROR(__xludf.DUMMYFUNCTION("LET(acronym, REGEXREPLACE(B192, ""(\w)\w*\s*"", ""$1""), IF(LEN(acronym) = 1, LEFT(B192, 2), acronym) &amp; C192 &amp; ""-b"")"),"BíaCE4-b")</f>
        <v>BíaCE4-b</v>
      </c>
      <c r="E192" s="3" t="s">
        <v>383</v>
      </c>
      <c r="F192" s="3" t="s">
        <v>146</v>
      </c>
      <c r="H192" s="9" t="str">
        <f t="shared" si="2"/>
        <v>grand-BíaCE4-b</v>
      </c>
    </row>
    <row r="193">
      <c r="A193" s="7" t="s">
        <v>513</v>
      </c>
      <c r="B193" s="2" t="s">
        <v>384</v>
      </c>
      <c r="C193" s="3" t="s">
        <v>62</v>
      </c>
      <c r="D193" s="10" t="str">
        <f>IFERROR(__xludf.DUMMYFUNCTION("LET(acronym, REGEXREPLACE(B193, ""(\w)\w*\s*"", ""$1""), IF(LEN(acronym) = 1, LEFT(B193, 2), acronym) &amp; C193 &amp; ""-b"")"),"GíayCACE1-b")</f>
        <v>GíayCACE1-b</v>
      </c>
      <c r="E193" s="3" t="s">
        <v>385</v>
      </c>
      <c r="F193" s="3" t="s">
        <v>24</v>
      </c>
      <c r="H193" s="9" t="str">
        <f t="shared" si="2"/>
        <v>grand-GíayCACE1-b</v>
      </c>
    </row>
    <row r="194">
      <c r="A194" s="7" t="s">
        <v>513</v>
      </c>
      <c r="B194" s="2" t="s">
        <v>384</v>
      </c>
      <c r="C194" s="3" t="s">
        <v>64</v>
      </c>
      <c r="D194" s="10" t="str">
        <f>IFERROR(__xludf.DUMMYFUNCTION("LET(acronym, REGEXREPLACE(B194, ""(\w)\w*\s*"", ""$1""), IF(LEN(acronym) = 1, LEFT(B194, 2), acronym) &amp; C194 &amp; ""-b"")"),"GíayCACE2-b")</f>
        <v>GíayCACE2-b</v>
      </c>
      <c r="E194" s="3" t="s">
        <v>386</v>
      </c>
      <c r="F194" s="3" t="s">
        <v>28</v>
      </c>
      <c r="H194" s="9" t="str">
        <f t="shared" si="2"/>
        <v>grand-GíayCACE2-b</v>
      </c>
    </row>
    <row r="195">
      <c r="A195" s="7" t="s">
        <v>513</v>
      </c>
      <c r="B195" s="2" t="s">
        <v>384</v>
      </c>
      <c r="C195" s="3" t="s">
        <v>66</v>
      </c>
      <c r="D195" s="10" t="str">
        <f>IFERROR(__xludf.DUMMYFUNCTION("LET(acronym, REGEXREPLACE(B195, ""(\w)\w*\s*"", ""$1""), IF(LEN(acronym) = 1, LEFT(B195, 2), acronym) &amp; C195 &amp; ""-b"")"),"GíayCACE3-b")</f>
        <v>GíayCACE3-b</v>
      </c>
      <c r="E195" s="3" t="s">
        <v>387</v>
      </c>
      <c r="F195" s="3" t="s">
        <v>30</v>
      </c>
      <c r="H195" s="9" t="str">
        <f t="shared" si="2"/>
        <v>grand-GíayCACE3-b</v>
      </c>
    </row>
    <row r="196">
      <c r="A196" s="7" t="s">
        <v>513</v>
      </c>
      <c r="B196" s="2" t="s">
        <v>384</v>
      </c>
      <c r="C196" s="3" t="s">
        <v>112</v>
      </c>
      <c r="D196" s="10" t="str">
        <f>IFERROR(__xludf.DUMMYFUNCTION("LET(acronym, REGEXREPLACE(B196, ""(\w)\w*\s*"", ""$1""), IF(LEN(acronym) = 1, LEFT(B196, 2), acronym) &amp; C196 &amp; ""-b"")"),"GíayCACE4-b")</f>
        <v>GíayCACE4-b</v>
      </c>
      <c r="E196" s="3" t="s">
        <v>388</v>
      </c>
      <c r="F196" s="3" t="s">
        <v>281</v>
      </c>
      <c r="H196" s="9" t="str">
        <f t="shared" si="2"/>
        <v>grand-GíayCACE4-b</v>
      </c>
    </row>
    <row r="197">
      <c r="A197" s="7" t="s">
        <v>513</v>
      </c>
      <c r="B197" s="2" t="s">
        <v>389</v>
      </c>
      <c r="C197" s="3" t="s">
        <v>62</v>
      </c>
      <c r="D197" s="10" t="str">
        <f>IFERROR(__xludf.DUMMYFUNCTION("LET(acronym, REGEXREPLACE(B197, ""(\w)\w*\s*"", ""$1""), IF(LEN(acronym) = 1, LEFT(B197, 2), acronym) &amp; C197 &amp; ""-b""  &amp; ""-alt"")"),"DTécICE1-b-alt")</f>
        <v>DTécICE1-b-alt</v>
      </c>
      <c r="E197" s="3" t="s">
        <v>390</v>
      </c>
      <c r="F197" s="3" t="s">
        <v>28</v>
      </c>
      <c r="H197" s="9" t="str">
        <f t="shared" si="2"/>
        <v>grand-DTécICE1-b-alt</v>
      </c>
    </row>
    <row r="198">
      <c r="A198" s="7" t="s">
        <v>513</v>
      </c>
      <c r="B198" s="2" t="s">
        <v>389</v>
      </c>
      <c r="C198" s="3" t="s">
        <v>64</v>
      </c>
      <c r="D198" s="10" t="str">
        <f>IFERROR(__xludf.DUMMYFUNCTION("LET(acronym, REGEXREPLACE(B198, ""(\w)\w*\s*"", ""$1""), IF(LEN(acronym) = 1, LEFT(B198, 2), acronym) &amp; C198 &amp; ""-b""  &amp; ""-alt"")"),"DTécICE2-b-alt")</f>
        <v>DTécICE2-b-alt</v>
      </c>
      <c r="E198" s="3" t="s">
        <v>391</v>
      </c>
      <c r="F198" s="3" t="s">
        <v>22</v>
      </c>
      <c r="H198" s="9" t="str">
        <f t="shared" si="2"/>
        <v>grand-DTécICE2-b-alt</v>
      </c>
    </row>
    <row r="199">
      <c r="A199" s="7" t="s">
        <v>513</v>
      </c>
      <c r="B199" s="2" t="s">
        <v>389</v>
      </c>
      <c r="C199" s="3" t="s">
        <v>66</v>
      </c>
      <c r="D199" s="10" t="str">
        <f>IFERROR(__xludf.DUMMYFUNCTION("LET(acronym, REGEXREPLACE(B199, ""(\w)\w*\s*"", ""$1""), IF(LEN(acronym) = 1, LEFT(B199, 2), acronym) &amp; C199 &amp; ""-b""  &amp; ""-alt"")"),"DTécICE3-b-alt")</f>
        <v>DTécICE3-b-alt</v>
      </c>
      <c r="E199" s="3" t="s">
        <v>392</v>
      </c>
      <c r="F199" s="3" t="s">
        <v>28</v>
      </c>
      <c r="H199" s="9" t="str">
        <f t="shared" si="2"/>
        <v>grand-DTécICE3-b-alt</v>
      </c>
    </row>
    <row r="200">
      <c r="A200" s="7" t="s">
        <v>513</v>
      </c>
      <c r="B200" s="2" t="s">
        <v>389</v>
      </c>
      <c r="C200" s="3" t="s">
        <v>112</v>
      </c>
      <c r="D200" s="10" t="str">
        <f>IFERROR(__xludf.DUMMYFUNCTION("LET(acronym, REGEXREPLACE(B200, ""(\w)\w*\s*"", ""$1""), IF(LEN(acronym) = 1, LEFT(B200, 2), acronym) &amp; C200 &amp; ""-b""  &amp; ""-alt"")"),"DTécICE4-b-alt")</f>
        <v>DTécICE4-b-alt</v>
      </c>
      <c r="E200" s="3" t="s">
        <v>393</v>
      </c>
      <c r="F200" s="3" t="s">
        <v>35</v>
      </c>
      <c r="H200" s="9" t="str">
        <f t="shared" si="2"/>
        <v>grand-DTécICE4-b-alt</v>
      </c>
    </row>
    <row r="201">
      <c r="A201" s="7" t="s">
        <v>513</v>
      </c>
      <c r="B201" s="2" t="s">
        <v>394</v>
      </c>
      <c r="C201" s="3" t="s">
        <v>62</v>
      </c>
      <c r="D201" s="10" t="str">
        <f>IFERROR(__xludf.DUMMYFUNCTION("LET(acronym, REGEXREPLACE(B201, ""(\w)\w*\s*"", ""$1""), IF(LEN(acronym) = 1, LEFT(B201, 2), acronym) &amp; C201 &amp; ""-b"")"),"DTécICE1-b")</f>
        <v>DTécICE1-b</v>
      </c>
      <c r="E201" s="3" t="s">
        <v>395</v>
      </c>
      <c r="F201" s="3" t="s">
        <v>28</v>
      </c>
      <c r="H201" s="9" t="str">
        <f t="shared" si="2"/>
        <v>grand-DTécICE1-b</v>
      </c>
    </row>
    <row r="202">
      <c r="A202" s="7" t="s">
        <v>513</v>
      </c>
      <c r="B202" s="2" t="s">
        <v>394</v>
      </c>
      <c r="C202" s="3" t="s">
        <v>64</v>
      </c>
      <c r="D202" s="10" t="str">
        <f>IFERROR(__xludf.DUMMYFUNCTION("LET(acronym, REGEXREPLACE(B202, ""(\w)\w*\s*"", ""$1""), IF(LEN(acronym) = 1, LEFT(B202, 2), acronym) &amp; C202 &amp; ""-b"")"),"DTécICE2-b")</f>
        <v>DTécICE2-b</v>
      </c>
      <c r="E202" s="3" t="s">
        <v>396</v>
      </c>
      <c r="F202" s="3" t="s">
        <v>22</v>
      </c>
      <c r="H202" s="9" t="str">
        <f t="shared" si="2"/>
        <v>grand-DTécICE2-b</v>
      </c>
    </row>
    <row r="203">
      <c r="A203" s="7" t="s">
        <v>513</v>
      </c>
      <c r="B203" s="2" t="s">
        <v>394</v>
      </c>
      <c r="C203" s="3" t="s">
        <v>66</v>
      </c>
      <c r="D203" s="10" t="str">
        <f>IFERROR(__xludf.DUMMYFUNCTION("LET(acronym, REGEXREPLACE(B203, ""(\w)\w*\s*"", ""$1""), IF(LEN(acronym) = 1, LEFT(B203, 2), acronym) &amp; C203 &amp; ""-b"")"),"DTécICE3-b")</f>
        <v>DTécICE3-b</v>
      </c>
      <c r="E203" s="3" t="s">
        <v>397</v>
      </c>
      <c r="F203" s="3" t="s">
        <v>398</v>
      </c>
      <c r="H203" s="9" t="str">
        <f t="shared" si="2"/>
        <v>grand-DTécICE3-b</v>
      </c>
    </row>
    <row r="204">
      <c r="A204" s="7" t="s">
        <v>513</v>
      </c>
      <c r="B204" s="2" t="s">
        <v>394</v>
      </c>
      <c r="C204" s="3" t="s">
        <v>112</v>
      </c>
      <c r="D204" s="10" t="str">
        <f>IFERROR(__xludf.DUMMYFUNCTION("LET(acronym, REGEXREPLACE(B204, ""(\w)\w*\s*"", ""$1""), IF(LEN(acronym) = 1, LEFT(B204, 2), acronym) &amp; C204 &amp; ""-b"")"),"DTécICE4-b")</f>
        <v>DTécICE4-b</v>
      </c>
      <c r="E204" s="3" t="s">
        <v>399</v>
      </c>
      <c r="F204" s="3" t="s">
        <v>35</v>
      </c>
      <c r="H204" s="9" t="str">
        <f t="shared" si="2"/>
        <v>grand-DTécICE4-b</v>
      </c>
    </row>
    <row r="205">
      <c r="A205" s="7" t="s">
        <v>513</v>
      </c>
      <c r="B205" s="2" t="s">
        <v>400</v>
      </c>
      <c r="C205" s="3" t="s">
        <v>62</v>
      </c>
      <c r="D205" s="10" t="str">
        <f>IFERROR(__xludf.DUMMYFUNCTION("LET(acronym, REGEXREPLACE(B205, ""(\w)\w*\s*"", ""$1""), IF(LEN(acronym) = 1, LEFT(B205, 2), acronym) &amp; C205 &amp; ""-b""  &amp; ""-alt"")"),"TíaeIíaICE1-b-alt")</f>
        <v>TíaeIíaICE1-b-alt</v>
      </c>
      <c r="E205" s="3" t="s">
        <v>401</v>
      </c>
      <c r="F205" s="3" t="s">
        <v>26</v>
      </c>
      <c r="H205" s="9" t="str">
        <f t="shared" si="2"/>
        <v>grand-TíaeIíaICE1-b-alt</v>
      </c>
    </row>
    <row r="206">
      <c r="A206" s="7" t="s">
        <v>513</v>
      </c>
      <c r="B206" s="2" t="s">
        <v>400</v>
      </c>
      <c r="C206" s="3" t="s">
        <v>64</v>
      </c>
      <c r="D206" s="10" t="str">
        <f>IFERROR(__xludf.DUMMYFUNCTION("LET(acronym, REGEXREPLACE(B206, ""(\w)\w*\s*"", ""$1""), IF(LEN(acronym) = 1, LEFT(B206, 2), acronym) &amp; C206 &amp; ""-b""  &amp; ""-alt"")"),"TíaeIíaICE2-b-alt")</f>
        <v>TíaeIíaICE2-b-alt</v>
      </c>
      <c r="E206" s="3" t="s">
        <v>402</v>
      </c>
      <c r="F206" s="3" t="s">
        <v>403</v>
      </c>
      <c r="H206" s="9" t="str">
        <f t="shared" si="2"/>
        <v>grand-TíaeIíaICE2-b-alt</v>
      </c>
    </row>
    <row r="207">
      <c r="A207" s="7" t="s">
        <v>513</v>
      </c>
      <c r="B207" s="2" t="s">
        <v>400</v>
      </c>
      <c r="C207" s="3" t="s">
        <v>66</v>
      </c>
      <c r="D207" s="10" t="str">
        <f>IFERROR(__xludf.DUMMYFUNCTION("LET(acronym, REGEXREPLACE(B207, ""(\w)\w*\s*"", ""$1""), IF(LEN(acronym) = 1, LEFT(B207, 2), acronym) &amp; C207 &amp; ""-b""  &amp; ""-alt"")"),"TíaeIíaICE3-b-alt")</f>
        <v>TíaeIíaICE3-b-alt</v>
      </c>
      <c r="E207" s="3" t="s">
        <v>404</v>
      </c>
      <c r="F207" s="3" t="s">
        <v>146</v>
      </c>
      <c r="H207" s="9" t="str">
        <f t="shared" si="2"/>
        <v>grand-TíaeIíaICE3-b-alt</v>
      </c>
    </row>
    <row r="208">
      <c r="A208" s="7" t="s">
        <v>513</v>
      </c>
      <c r="B208" s="2" t="s">
        <v>400</v>
      </c>
      <c r="C208" s="3" t="s">
        <v>112</v>
      </c>
      <c r="D208" s="10" t="str">
        <f>IFERROR(__xludf.DUMMYFUNCTION("LET(acronym, REGEXREPLACE(B208, ""(\w)\w*\s*"", ""$1""), IF(LEN(acronym) = 1, LEFT(B208, 2), acronym) &amp; C208 &amp; ""-b""  &amp; ""-alt"")"),"TíaeIíaICE4-b-alt")</f>
        <v>TíaeIíaICE4-b-alt</v>
      </c>
      <c r="E208" s="3" t="s">
        <v>405</v>
      </c>
      <c r="F208" s="3" t="s">
        <v>35</v>
      </c>
      <c r="H208" s="9" t="str">
        <f t="shared" si="2"/>
        <v>grand-TíaeIíaICE4-b-alt</v>
      </c>
    </row>
    <row r="209">
      <c r="A209" s="7" t="s">
        <v>513</v>
      </c>
      <c r="B209" s="2" t="s">
        <v>406</v>
      </c>
      <c r="C209" s="3" t="s">
        <v>62</v>
      </c>
      <c r="D209" s="10" t="str">
        <f>IFERROR(__xludf.DUMMYFUNCTION("LET(acronym, REGEXREPLACE(B209, ""(\w)\w*\s*"", ""$1""), IF(LEN(acronym) = 1, LEFT(B209, 2), acronym) &amp; C209 &amp; ""-b"")"),"TíaeIíaICE1-b")</f>
        <v>TíaeIíaICE1-b</v>
      </c>
      <c r="E209" s="3" t="s">
        <v>407</v>
      </c>
      <c r="F209" s="3" t="s">
        <v>408</v>
      </c>
      <c r="H209" s="9" t="str">
        <f t="shared" si="2"/>
        <v>grand-TíaeIíaICE1-b</v>
      </c>
    </row>
    <row r="210">
      <c r="A210" s="7" t="s">
        <v>513</v>
      </c>
      <c r="B210" s="2" t="s">
        <v>406</v>
      </c>
      <c r="C210" s="3" t="s">
        <v>64</v>
      </c>
      <c r="D210" s="10" t="str">
        <f>IFERROR(__xludf.DUMMYFUNCTION("LET(acronym, REGEXREPLACE(B210, ""(\w)\w*\s*"", ""$1""), IF(LEN(acronym) = 1, LEFT(B210, 2), acronym) &amp; C210 &amp; ""-b"")"),"TíaeIíaICE2-b")</f>
        <v>TíaeIíaICE2-b</v>
      </c>
      <c r="E210" s="3" t="s">
        <v>409</v>
      </c>
      <c r="F210" s="3" t="s">
        <v>410</v>
      </c>
      <c r="H210" s="9" t="str">
        <f t="shared" si="2"/>
        <v>grand-TíaeIíaICE2-b</v>
      </c>
    </row>
    <row r="211">
      <c r="A211" s="7" t="s">
        <v>513</v>
      </c>
      <c r="B211" s="2" t="s">
        <v>406</v>
      </c>
      <c r="C211" s="3" t="s">
        <v>66</v>
      </c>
      <c r="D211" s="10" t="str">
        <f>IFERROR(__xludf.DUMMYFUNCTION("LET(acronym, REGEXREPLACE(B211, ""(\w)\w*\s*"", ""$1""), IF(LEN(acronym) = 1, LEFT(B211, 2), acronym) &amp; C211 &amp; ""-b"")"),"TíaeIíaICE3-b")</f>
        <v>TíaeIíaICE3-b</v>
      </c>
      <c r="E211" s="3" t="s">
        <v>411</v>
      </c>
      <c r="F211" s="3" t="s">
        <v>412</v>
      </c>
      <c r="H211" s="9" t="str">
        <f t="shared" si="2"/>
        <v>grand-TíaeIíaICE3-b</v>
      </c>
    </row>
    <row r="212">
      <c r="A212" s="7" t="s">
        <v>513</v>
      </c>
      <c r="B212" s="2" t="s">
        <v>406</v>
      </c>
      <c r="C212" s="3" t="s">
        <v>112</v>
      </c>
      <c r="D212" s="10" t="str">
        <f>IFERROR(__xludf.DUMMYFUNCTION("LET(acronym, REGEXREPLACE(B212, ""(\w)\w*\s*"", ""$1""), IF(LEN(acronym) = 1, LEFT(B212, 2), acronym) &amp; C212 &amp; ""-b"")"),"TíaeIíaICE4-b")</f>
        <v>TíaeIíaICE4-b</v>
      </c>
      <c r="E212" s="3" t="s">
        <v>413</v>
      </c>
      <c r="F212" s="3" t="s">
        <v>281</v>
      </c>
      <c r="H212" s="9" t="str">
        <f t="shared" si="2"/>
        <v>grand-TíaeIíaICE4-b</v>
      </c>
    </row>
    <row r="213">
      <c r="A213" s="7" t="s">
        <v>513</v>
      </c>
      <c r="B213" s="2" t="s">
        <v>414</v>
      </c>
      <c r="C213" s="3" t="s">
        <v>62</v>
      </c>
      <c r="D213" s="10" t="str">
        <f>IFERROR(__xludf.DUMMYFUNCTION("LET(acronym, REGEXREPLACE(B213, ""(\w)\w*\s*"", ""$1""), IF(LEN(acronym) = 1, LEFT(B213, 2), acronym) &amp; C213 &amp; ""-b"")"),"HdACE1-b")</f>
        <v>HdACE1-b</v>
      </c>
      <c r="E213" s="3" t="s">
        <v>415</v>
      </c>
      <c r="F213" s="3" t="s">
        <v>69</v>
      </c>
      <c r="H213" s="9" t="str">
        <f t="shared" si="2"/>
        <v>grand-HdACE1-b</v>
      </c>
    </row>
    <row r="214">
      <c r="A214" s="7" t="s">
        <v>513</v>
      </c>
      <c r="B214" s="2" t="s">
        <v>414</v>
      </c>
      <c r="C214" s="3" t="s">
        <v>64</v>
      </c>
      <c r="D214" s="10" t="str">
        <f>IFERROR(__xludf.DUMMYFUNCTION("LET(acronym, REGEXREPLACE(B214, ""(\w)\w*\s*"", ""$1""), IF(LEN(acronym) = 1, LEFT(B214, 2), acronym) &amp; C214 &amp; ""-b"")"),"HdACE2-b")</f>
        <v>HdACE2-b</v>
      </c>
      <c r="E214" s="3" t="s">
        <v>416</v>
      </c>
      <c r="F214" s="3" t="s">
        <v>156</v>
      </c>
      <c r="H214" s="9" t="str">
        <f t="shared" si="2"/>
        <v>grand-HdACE2-b</v>
      </c>
    </row>
    <row r="215">
      <c r="A215" s="7" t="s">
        <v>513</v>
      </c>
      <c r="B215" s="2" t="s">
        <v>414</v>
      </c>
      <c r="C215" s="3" t="s">
        <v>66</v>
      </c>
      <c r="D215" s="10" t="str">
        <f>IFERROR(__xludf.DUMMYFUNCTION("LET(acronym, REGEXREPLACE(B215, ""(\w)\w*\s*"", ""$1""), IF(LEN(acronym) = 1, LEFT(B215, 2), acronym) &amp; C215 &amp; ""-b"")"),"HdACE3-b")</f>
        <v>HdACE3-b</v>
      </c>
      <c r="E215" s="3" t="s">
        <v>417</v>
      </c>
      <c r="F215" s="3" t="s">
        <v>69</v>
      </c>
      <c r="H215" s="9" t="str">
        <f t="shared" si="2"/>
        <v>grand-HdACE3-b</v>
      </c>
    </row>
    <row r="216">
      <c r="A216" s="7" t="s">
        <v>513</v>
      </c>
      <c r="B216" s="2" t="s">
        <v>414</v>
      </c>
      <c r="C216" s="3" t="s">
        <v>112</v>
      </c>
      <c r="D216" s="10" t="str">
        <f>IFERROR(__xludf.DUMMYFUNCTION("LET(acronym, REGEXREPLACE(B216, ""(\w)\w*\s*"", ""$1""), IF(LEN(acronym) = 1, LEFT(B216, 2), acronym) &amp; C216 &amp; ""-b"")"),"HdACE4-b")</f>
        <v>HdACE4-b</v>
      </c>
      <c r="E216" s="3" t="s">
        <v>418</v>
      </c>
      <c r="F216" s="3" t="s">
        <v>419</v>
      </c>
      <c r="H216" s="9" t="str">
        <f t="shared" si="2"/>
        <v>grand-HdACE4-b</v>
      </c>
    </row>
    <row r="217">
      <c r="A217" s="7" t="s">
        <v>513</v>
      </c>
      <c r="B217" s="2" t="s">
        <v>420</v>
      </c>
      <c r="C217" s="3" t="s">
        <v>62</v>
      </c>
      <c r="D217" s="10" t="str">
        <f>IFERROR(__xludf.DUMMYFUNCTION("LET(acronym, REGEXREPLACE(B217, ""(\w)\w*\s*"", ""$1""), IF(LEN(acronym) = 1, LEFT(B217, 2), acronym) &amp; C217 &amp; ""-b"")"),"EíaCE1-b")</f>
        <v>EíaCE1-b</v>
      </c>
      <c r="E217" s="3" t="s">
        <v>421</v>
      </c>
      <c r="F217" s="3" t="s">
        <v>276</v>
      </c>
      <c r="H217" s="9" t="str">
        <f t="shared" si="2"/>
        <v>grand-EíaCE1-b</v>
      </c>
    </row>
    <row r="218">
      <c r="A218" s="7" t="s">
        <v>513</v>
      </c>
      <c r="B218" s="2" t="s">
        <v>420</v>
      </c>
      <c r="C218" s="3" t="s">
        <v>64</v>
      </c>
      <c r="D218" s="10" t="str">
        <f>IFERROR(__xludf.DUMMYFUNCTION("LET(acronym, REGEXREPLACE(B218, ""(\w)\w*\s*"", ""$1""), IF(LEN(acronym) = 1, LEFT(B218, 2), acronym) &amp; C218 &amp; ""-b"")"),"EíaCE2-b")</f>
        <v>EíaCE2-b</v>
      </c>
      <c r="E218" s="3" t="s">
        <v>422</v>
      </c>
      <c r="F218" s="3" t="s">
        <v>28</v>
      </c>
      <c r="H218" s="9" t="str">
        <f t="shared" si="2"/>
        <v>grand-EíaCE2-b</v>
      </c>
    </row>
    <row r="219">
      <c r="A219" s="7" t="s">
        <v>513</v>
      </c>
      <c r="B219" s="2" t="s">
        <v>420</v>
      </c>
      <c r="C219" s="3" t="s">
        <v>66</v>
      </c>
      <c r="D219" s="10" t="str">
        <f>IFERROR(__xludf.DUMMYFUNCTION("LET(acronym, REGEXREPLACE(B219, ""(\w)\w*\s*"", ""$1""), IF(LEN(acronym) = 1, LEFT(B219, 2), acronym) &amp; C219 &amp; ""-b"")"),"EíaCE3-b")</f>
        <v>EíaCE3-b</v>
      </c>
      <c r="E219" s="3" t="s">
        <v>423</v>
      </c>
      <c r="F219" s="3" t="s">
        <v>281</v>
      </c>
      <c r="H219" s="9" t="str">
        <f t="shared" si="2"/>
        <v>grand-EíaCE3-b</v>
      </c>
    </row>
    <row r="220">
      <c r="A220" s="7" t="s">
        <v>513</v>
      </c>
      <c r="B220" s="2" t="s">
        <v>420</v>
      </c>
      <c r="C220" s="3" t="s">
        <v>112</v>
      </c>
      <c r="D220" s="10" t="str">
        <f>IFERROR(__xludf.DUMMYFUNCTION("LET(acronym, REGEXREPLACE(B220, ""(\w)\w*\s*"", ""$1""), IF(LEN(acronym) = 1, LEFT(B220, 2), acronym) &amp; C220 &amp; ""-b"")"),"EíaCE4-b")</f>
        <v>EíaCE4-b</v>
      </c>
      <c r="E220" s="3" t="s">
        <v>424</v>
      </c>
      <c r="F220" s="3" t="s">
        <v>253</v>
      </c>
      <c r="H220" s="9" t="str">
        <f t="shared" si="2"/>
        <v>grand-EíaCE4-b</v>
      </c>
    </row>
    <row r="221">
      <c r="A221" s="7" t="s">
        <v>513</v>
      </c>
      <c r="B221" s="2" t="s">
        <v>425</v>
      </c>
      <c r="C221" s="3" t="s">
        <v>62</v>
      </c>
      <c r="D221" s="10" t="str">
        <f>IFERROR(__xludf.DUMMYFUNCTION("LET(acronym, REGEXREPLACE(B221, ""(\w)\w*\s*"", ""$1""), IF(LEN(acronym) = 1, LEFT(B221, 2), acronym) &amp; C221 &amp; ""-b"")"),"EyDñodMdNCE1-b")</f>
        <v>EyDñodMdNCE1-b</v>
      </c>
      <c r="E221" s="3" t="s">
        <v>426</v>
      </c>
      <c r="F221" s="3" t="s">
        <v>276</v>
      </c>
      <c r="H221" s="9" t="str">
        <f t="shared" si="2"/>
        <v>grand-EyDñodMdNCE1-b</v>
      </c>
    </row>
    <row r="222">
      <c r="A222" s="7" t="s">
        <v>513</v>
      </c>
      <c r="B222" s="2" t="s">
        <v>425</v>
      </c>
      <c r="C222" s="3" t="s">
        <v>64</v>
      </c>
      <c r="D222" s="10" t="str">
        <f>IFERROR(__xludf.DUMMYFUNCTION("LET(acronym, REGEXREPLACE(B222, ""(\w)\w*\s*"", ""$1""), IF(LEN(acronym) = 1, LEFT(B222, 2), acronym) &amp; C222 &amp; ""-b"")"),"EyDñodMdNCE2-b")</f>
        <v>EyDñodMdNCE2-b</v>
      </c>
      <c r="E222" s="3" t="s">
        <v>427</v>
      </c>
      <c r="F222" s="3" t="s">
        <v>279</v>
      </c>
      <c r="H222" s="9" t="str">
        <f t="shared" si="2"/>
        <v>grand-EyDñodMdNCE2-b</v>
      </c>
    </row>
    <row r="223">
      <c r="A223" s="7" t="s">
        <v>513</v>
      </c>
      <c r="B223" s="2" t="s">
        <v>425</v>
      </c>
      <c r="C223" s="3" t="s">
        <v>66</v>
      </c>
      <c r="D223" s="10" t="str">
        <f>IFERROR(__xludf.DUMMYFUNCTION("LET(acronym, REGEXREPLACE(B223, ""(\w)\w*\s*"", ""$1""), IF(LEN(acronym) = 1, LEFT(B223, 2), acronym) &amp; C223 &amp; ""-b"")"),"EyDñodMdNCE3-b")</f>
        <v>EyDñodMdNCE3-b</v>
      </c>
      <c r="E223" s="3" t="s">
        <v>428</v>
      </c>
      <c r="F223" s="3" t="s">
        <v>429</v>
      </c>
      <c r="H223" s="9" t="str">
        <f t="shared" si="2"/>
        <v>grand-EyDñodMdNCE3-b</v>
      </c>
    </row>
    <row r="224">
      <c r="A224" s="7" t="s">
        <v>513</v>
      </c>
      <c r="B224" s="2" t="s">
        <v>425</v>
      </c>
      <c r="C224" s="3" t="s">
        <v>112</v>
      </c>
      <c r="D224" s="10" t="str">
        <f>IFERROR(__xludf.DUMMYFUNCTION("LET(acronym, REGEXREPLACE(B224, ""(\w)\w*\s*"", ""$1""), IF(LEN(acronym) = 1, LEFT(B224, 2), acronym) &amp; C224 &amp; ""-b"")"),"EyDñodMdNCE4-b")</f>
        <v>EyDñodMdNCE4-b</v>
      </c>
      <c r="E224" s="3" t="s">
        <v>430</v>
      </c>
      <c r="F224" s="3" t="s">
        <v>281</v>
      </c>
      <c r="H224" s="9" t="str">
        <f t="shared" si="2"/>
        <v>grand-EyDñodMdNCE4-b</v>
      </c>
    </row>
    <row r="225">
      <c r="A225" s="7" t="s">
        <v>513</v>
      </c>
      <c r="B225" s="2" t="s">
        <v>431</v>
      </c>
      <c r="C225" s="3" t="s">
        <v>62</v>
      </c>
      <c r="D225" s="10" t="str">
        <f>IFERROR(__xludf.DUMMYFUNCTION("LET(acronym, REGEXREPLACE(B225, ""(\w)\w*\s*"", ""$1""), IF(LEN(acronym) = 1, LEFT(B225, 2), acronym) &amp; C225 &amp; ""-b""  &amp; ""-alt"")"),"LínICE1-b-alt")</f>
        <v>LínICE1-b-alt</v>
      </c>
      <c r="E225" s="3" t="s">
        <v>432</v>
      </c>
      <c r="F225" s="3" t="s">
        <v>288</v>
      </c>
      <c r="H225" s="9" t="str">
        <f t="shared" si="2"/>
        <v>grand-LínICE1-b-alt</v>
      </c>
    </row>
    <row r="226">
      <c r="A226" s="7" t="s">
        <v>513</v>
      </c>
      <c r="B226" s="2" t="s">
        <v>431</v>
      </c>
      <c r="C226" s="3" t="s">
        <v>64</v>
      </c>
      <c r="D226" s="10" t="str">
        <f>IFERROR(__xludf.DUMMYFUNCTION("LET(acronym, REGEXREPLACE(B226, ""(\w)\w*\s*"", ""$1""), IF(LEN(acronym) = 1, LEFT(B226, 2), acronym) &amp; C226 &amp; ""-b""  &amp; ""-alt"")"),"LínICE2-b-alt")</f>
        <v>LínICE2-b-alt</v>
      </c>
      <c r="E226" s="3" t="s">
        <v>433</v>
      </c>
      <c r="F226" s="3" t="s">
        <v>6</v>
      </c>
      <c r="H226" s="9" t="str">
        <f t="shared" si="2"/>
        <v>grand-LínICE2-b-alt</v>
      </c>
    </row>
    <row r="227">
      <c r="A227" s="7" t="s">
        <v>513</v>
      </c>
      <c r="B227" s="2" t="s">
        <v>431</v>
      </c>
      <c r="C227" s="3" t="s">
        <v>66</v>
      </c>
      <c r="D227" s="10" t="str">
        <f>IFERROR(__xludf.DUMMYFUNCTION("LET(acronym, REGEXREPLACE(B227, ""(\w)\w*\s*"", ""$1""), IF(LEN(acronym) = 1, LEFT(B227, 2), acronym) &amp; C227 &amp; ""-b""  &amp; ""-alt"")"),"LínICE3-b-alt")</f>
        <v>LínICE3-b-alt</v>
      </c>
      <c r="E227" s="3" t="s">
        <v>434</v>
      </c>
      <c r="F227" s="3" t="s">
        <v>69</v>
      </c>
      <c r="H227" s="9" t="str">
        <f t="shared" si="2"/>
        <v>grand-LínICE3-b-alt</v>
      </c>
    </row>
    <row r="228">
      <c r="A228" s="7" t="s">
        <v>513</v>
      </c>
      <c r="B228" s="2" t="s">
        <v>431</v>
      </c>
      <c r="C228" s="3" t="s">
        <v>112</v>
      </c>
      <c r="D228" s="10" t="str">
        <f>IFERROR(__xludf.DUMMYFUNCTION("LET(acronym, REGEXREPLACE(B228, ""(\w)\w*\s*"", ""$1""), IF(LEN(acronym) = 1, LEFT(B228, 2), acronym) &amp; C228 &amp; ""-b""  &amp; ""-alt"")"),"LínICE4-b-alt")</f>
        <v>LínICE4-b-alt</v>
      </c>
      <c r="E228" s="3" t="s">
        <v>435</v>
      </c>
      <c r="F228" s="3" t="s">
        <v>156</v>
      </c>
      <c r="H228" s="9" t="str">
        <f t="shared" si="2"/>
        <v>grand-LínICE4-b-alt</v>
      </c>
    </row>
    <row r="229">
      <c r="A229" s="7" t="s">
        <v>513</v>
      </c>
      <c r="B229" s="2" t="s">
        <v>436</v>
      </c>
      <c r="C229" s="3" t="s">
        <v>62</v>
      </c>
      <c r="D229" s="10" t="str">
        <f>IFERROR(__xludf.DUMMYFUNCTION("LET(acronym, REGEXREPLACE(B229, ""(\w)\w*\s*"", ""$1""), IF(LEN(acronym) = 1, LEFT(B229, 2), acronym) &amp; C229 &amp; ""-b"")"),"LínICE1-b")</f>
        <v>LínICE1-b</v>
      </c>
      <c r="E229" s="3" t="s">
        <v>437</v>
      </c>
      <c r="F229" s="3" t="s">
        <v>8</v>
      </c>
      <c r="H229" s="9" t="str">
        <f t="shared" si="2"/>
        <v>grand-LínICE1-b</v>
      </c>
    </row>
    <row r="230">
      <c r="A230" s="7" t="s">
        <v>513</v>
      </c>
      <c r="B230" s="2" t="s">
        <v>436</v>
      </c>
      <c r="C230" s="3" t="s">
        <v>64</v>
      </c>
      <c r="D230" s="10" t="str">
        <f>IFERROR(__xludf.DUMMYFUNCTION("LET(acronym, REGEXREPLACE(B230, ""(\w)\w*\s*"", ""$1""), IF(LEN(acronym) = 1, LEFT(B230, 2), acronym) &amp; C230 &amp; ""-b"")"),"LínICE2-b")</f>
        <v>LínICE2-b</v>
      </c>
      <c r="E230" s="3" t="s">
        <v>438</v>
      </c>
      <c r="F230" s="3" t="s">
        <v>6</v>
      </c>
      <c r="H230" s="9" t="str">
        <f t="shared" si="2"/>
        <v>grand-LínICE2-b</v>
      </c>
    </row>
    <row r="231">
      <c r="A231" s="7" t="s">
        <v>513</v>
      </c>
      <c r="B231" s="2" t="s">
        <v>436</v>
      </c>
      <c r="C231" s="3" t="s">
        <v>66</v>
      </c>
      <c r="D231" s="10" t="str">
        <f>IFERROR(__xludf.DUMMYFUNCTION("LET(acronym, REGEXREPLACE(B231, ""(\w)\w*\s*"", ""$1""), IF(LEN(acronym) = 1, LEFT(B231, 2), acronym) &amp; C231 &amp; ""-b"")"),"LínICE3-b")</f>
        <v>LínICE3-b</v>
      </c>
      <c r="E231" s="3" t="s">
        <v>439</v>
      </c>
      <c r="F231" s="3" t="s">
        <v>69</v>
      </c>
      <c r="H231" s="9" t="str">
        <f t="shared" si="2"/>
        <v>grand-LínICE3-b</v>
      </c>
    </row>
    <row r="232">
      <c r="A232" s="7" t="s">
        <v>513</v>
      </c>
      <c r="B232" s="2" t="s">
        <v>436</v>
      </c>
      <c r="C232" s="3" t="s">
        <v>112</v>
      </c>
      <c r="D232" s="10" t="str">
        <f>IFERROR(__xludf.DUMMYFUNCTION("LET(acronym, REGEXREPLACE(B232, ""(\w)\w*\s*"", ""$1""), IF(LEN(acronym) = 1, LEFT(B232, 2), acronym) &amp; C232 &amp; ""-b"")"),"LínICE4-b")</f>
        <v>LínICE4-b</v>
      </c>
      <c r="E232" s="3" t="s">
        <v>440</v>
      </c>
      <c r="F232" s="3" t="s">
        <v>156</v>
      </c>
      <c r="H232" s="9" t="str">
        <f t="shared" si="2"/>
        <v>grand-LínICE4-b</v>
      </c>
    </row>
    <row r="233">
      <c r="A233" s="7" t="s">
        <v>513</v>
      </c>
      <c r="B233" s="2" t="s">
        <v>441</v>
      </c>
      <c r="C233" s="3" t="s">
        <v>62</v>
      </c>
      <c r="D233" s="10" t="str">
        <f>IFERROR(__xludf.DUMMYFUNCTION("LET(acronym, REGEXREPLACE(B233, ""(\w)\w*\s*"", ""$1""), IF(LEN(acronym) = 1, LEFT(B233, 2), acronym) &amp; C233 &amp; ""-b""  &amp; ""-alt"")"),"GICE1-b-alt")</f>
        <v>GICE1-b-alt</v>
      </c>
      <c r="E233" s="3" t="s">
        <v>442</v>
      </c>
      <c r="F233" s="3" t="s">
        <v>8</v>
      </c>
      <c r="H233" s="9" t="str">
        <f t="shared" si="2"/>
        <v>grand-GICE1-b-alt</v>
      </c>
    </row>
    <row r="234">
      <c r="A234" s="7" t="s">
        <v>513</v>
      </c>
      <c r="B234" s="2" t="s">
        <v>441</v>
      </c>
      <c r="C234" s="3" t="s">
        <v>64</v>
      </c>
      <c r="D234" s="10" t="str">
        <f>IFERROR(__xludf.DUMMYFUNCTION("LET(acronym, REGEXREPLACE(B234, ""(\w)\w*\s*"", ""$1""), IF(LEN(acronym) = 1, LEFT(B234, 2), acronym) &amp; C234 &amp; ""-b""  &amp; ""-alt"")"),"GICE2-b-alt")</f>
        <v>GICE2-b-alt</v>
      </c>
      <c r="E234" s="3" t="s">
        <v>443</v>
      </c>
      <c r="F234" s="3" t="s">
        <v>6</v>
      </c>
      <c r="H234" s="9" t="str">
        <f t="shared" si="2"/>
        <v>grand-GICE2-b-alt</v>
      </c>
    </row>
    <row r="235">
      <c r="A235" s="7" t="s">
        <v>513</v>
      </c>
      <c r="B235" s="2" t="s">
        <v>441</v>
      </c>
      <c r="C235" s="3" t="s">
        <v>66</v>
      </c>
      <c r="D235" s="10" t="str">
        <f>IFERROR(__xludf.DUMMYFUNCTION("LET(acronym, REGEXREPLACE(B235, ""(\w)\w*\s*"", ""$1""), IF(LEN(acronym) = 1, LEFT(B235, 2), acronym) &amp; C235 &amp; ""-b""  &amp; ""-alt"")"),"GICE3-b-alt")</f>
        <v>GICE3-b-alt</v>
      </c>
      <c r="E235" s="3" t="s">
        <v>444</v>
      </c>
      <c r="F235" s="3" t="s">
        <v>69</v>
      </c>
      <c r="H235" s="9" t="str">
        <f t="shared" si="2"/>
        <v>grand-GICE3-b-alt</v>
      </c>
    </row>
    <row r="236">
      <c r="A236" s="7" t="s">
        <v>513</v>
      </c>
      <c r="B236" s="2" t="s">
        <v>441</v>
      </c>
      <c r="C236" s="3" t="s">
        <v>112</v>
      </c>
      <c r="D236" s="10" t="str">
        <f>IFERROR(__xludf.DUMMYFUNCTION("LET(acronym, REGEXREPLACE(B236, ""(\w)\w*\s*"", ""$1""), IF(LEN(acronym) = 1, LEFT(B236, 2), acronym) &amp; C236 &amp; ""-b""  &amp; ""-alt"")"),"GICE4-b-alt")</f>
        <v>GICE4-b-alt</v>
      </c>
      <c r="E236" s="3" t="s">
        <v>445</v>
      </c>
      <c r="F236" s="3" t="s">
        <v>195</v>
      </c>
      <c r="H236" s="9" t="str">
        <f t="shared" si="2"/>
        <v>grand-GICE4-b-alt</v>
      </c>
    </row>
    <row r="237">
      <c r="A237" s="7" t="s">
        <v>513</v>
      </c>
      <c r="B237" s="2" t="s">
        <v>446</v>
      </c>
      <c r="C237" s="3" t="s">
        <v>62</v>
      </c>
      <c r="D237" s="10" t="str">
        <f>IFERROR(__xludf.DUMMYFUNCTION("LET(acronym, REGEXREPLACE(B237, ""(\w)\w*\s*"", ""$1""), IF(LEN(acronym) = 1, LEFT(B237, 2), acronym) &amp; C237 &amp; ""-b"")"),"GICE1-b")</f>
        <v>GICE1-b</v>
      </c>
      <c r="E237" s="3" t="s">
        <v>447</v>
      </c>
      <c r="F237" s="3" t="s">
        <v>8</v>
      </c>
      <c r="H237" s="9" t="str">
        <f t="shared" si="2"/>
        <v>grand-GICE1-b</v>
      </c>
    </row>
    <row r="238">
      <c r="A238" s="7" t="s">
        <v>513</v>
      </c>
      <c r="B238" s="2" t="s">
        <v>446</v>
      </c>
      <c r="C238" s="3" t="s">
        <v>64</v>
      </c>
      <c r="D238" s="10" t="str">
        <f>IFERROR(__xludf.DUMMYFUNCTION("LET(acronym, REGEXREPLACE(B238, ""(\w)\w*\s*"", ""$1""), IF(LEN(acronym) = 1, LEFT(B238, 2), acronym) &amp; C238 &amp; ""-b"")"),"GICE2-b")</f>
        <v>GICE2-b</v>
      </c>
      <c r="E238" s="3" t="s">
        <v>448</v>
      </c>
      <c r="F238" s="3" t="s">
        <v>6</v>
      </c>
      <c r="H238" s="9" t="str">
        <f t="shared" si="2"/>
        <v>grand-GICE2-b</v>
      </c>
    </row>
    <row r="239">
      <c r="A239" s="7" t="s">
        <v>513</v>
      </c>
      <c r="B239" s="2" t="s">
        <v>446</v>
      </c>
      <c r="C239" s="3" t="s">
        <v>66</v>
      </c>
      <c r="D239" s="10" t="str">
        <f>IFERROR(__xludf.DUMMYFUNCTION("LET(acronym, REGEXREPLACE(B239, ""(\w)\w*\s*"", ""$1""), IF(LEN(acronym) = 1, LEFT(B239, 2), acronym) &amp; C239 &amp; ""-b"")"),"GICE3-b")</f>
        <v>GICE3-b</v>
      </c>
      <c r="E239" s="3" t="s">
        <v>449</v>
      </c>
      <c r="F239" s="3" t="s">
        <v>69</v>
      </c>
      <c r="H239" s="9" t="str">
        <f t="shared" si="2"/>
        <v>grand-GICE3-b</v>
      </c>
    </row>
    <row r="240">
      <c r="A240" s="7" t="s">
        <v>513</v>
      </c>
      <c r="B240" s="2" t="s">
        <v>446</v>
      </c>
      <c r="C240" s="3" t="s">
        <v>112</v>
      </c>
      <c r="D240" s="10" t="str">
        <f>IFERROR(__xludf.DUMMYFUNCTION("LET(acronym, REGEXREPLACE(B240, ""(\w)\w*\s*"", ""$1""), IF(LEN(acronym) = 1, LEFT(B240, 2), acronym) &amp; C240 &amp; ""-b"")"),"GICE4-b")</f>
        <v>GICE4-b</v>
      </c>
      <c r="E240" s="3" t="s">
        <v>450</v>
      </c>
      <c r="F240" s="3" t="s">
        <v>195</v>
      </c>
      <c r="H240" s="9" t="str">
        <f t="shared" si="2"/>
        <v>grand-GICE4-b</v>
      </c>
    </row>
    <row r="241">
      <c r="A241" s="7" t="s">
        <v>513</v>
      </c>
      <c r="B241" s="2" t="s">
        <v>451</v>
      </c>
      <c r="C241" s="3" t="s">
        <v>62</v>
      </c>
      <c r="D241" s="10" t="str">
        <f>IFERROR(__xludf.DUMMYFUNCTION("LET(acronym, REGEXREPLACE(B241, ""(\w)\w*\s*"", ""$1""), IF(LEN(acronym) = 1, LEFT(B241, 2), acronym) &amp; C241 &amp; ""-b"")"),"LUCE1-b")</f>
        <v>LUCE1-b</v>
      </c>
      <c r="E241" s="3" t="s">
        <v>452</v>
      </c>
      <c r="F241" s="3" t="s">
        <v>69</v>
      </c>
      <c r="H241" s="9" t="str">
        <f t="shared" si="2"/>
        <v>grand-LUCE1-b</v>
      </c>
    </row>
    <row r="242">
      <c r="A242" s="7" t="s">
        <v>513</v>
      </c>
      <c r="B242" s="2" t="s">
        <v>451</v>
      </c>
      <c r="C242" s="3" t="s">
        <v>64</v>
      </c>
      <c r="D242" s="10" t="str">
        <f>IFERROR(__xludf.DUMMYFUNCTION("LET(acronym, REGEXREPLACE(B242, ""(\w)\w*\s*"", ""$1""), IF(LEN(acronym) = 1, LEFT(B242, 2), acronym) &amp; C242 &amp; ""-b"")"),"LUCE2-b")</f>
        <v>LUCE2-b</v>
      </c>
      <c r="E242" s="3" t="s">
        <v>453</v>
      </c>
      <c r="F242" s="3" t="s">
        <v>243</v>
      </c>
      <c r="H242" s="9" t="str">
        <f t="shared" si="2"/>
        <v>grand-LUCE2-b</v>
      </c>
    </row>
    <row r="243">
      <c r="A243" s="7" t="s">
        <v>513</v>
      </c>
      <c r="B243" s="2" t="s">
        <v>451</v>
      </c>
      <c r="C243" s="3" t="s">
        <v>66</v>
      </c>
      <c r="D243" s="10" t="str">
        <f>IFERROR(__xludf.DUMMYFUNCTION("LET(acronym, REGEXREPLACE(B243, ""(\w)\w*\s*"", ""$1""), IF(LEN(acronym) = 1, LEFT(B243, 2), acronym) &amp; C243 &amp; ""-b"")"),"LUCE3-b")</f>
        <v>LUCE3-b</v>
      </c>
      <c r="E243" s="3" t="s">
        <v>454</v>
      </c>
      <c r="F243" s="3" t="s">
        <v>69</v>
      </c>
      <c r="H243" s="9" t="str">
        <f t="shared" si="2"/>
        <v>grand-LUCE3-b</v>
      </c>
    </row>
    <row r="244">
      <c r="A244" s="7" t="s">
        <v>513</v>
      </c>
      <c r="B244" s="2" t="s">
        <v>451</v>
      </c>
      <c r="C244" s="3" t="s">
        <v>112</v>
      </c>
      <c r="D244" s="10" t="str">
        <f>IFERROR(__xludf.DUMMYFUNCTION("LET(acronym, REGEXREPLACE(B244, ""(\w)\w*\s*"", ""$1""), IF(LEN(acronym) = 1, LEFT(B244, 2), acronym) &amp; C244 &amp; ""-b"")"),"LUCE4-b")</f>
        <v>LUCE4-b</v>
      </c>
      <c r="E244" s="3" t="s">
        <v>455</v>
      </c>
      <c r="F244" s="3" t="s">
        <v>419</v>
      </c>
      <c r="H244" s="9" t="str">
        <f t="shared" si="2"/>
        <v>grand-LUCE4-b</v>
      </c>
    </row>
    <row r="245">
      <c r="A245" s="7" t="s">
        <v>513</v>
      </c>
      <c r="B245" s="2" t="s">
        <v>456</v>
      </c>
      <c r="C245" s="3" t="s">
        <v>62</v>
      </c>
      <c r="D245" s="10" t="str">
        <f>IFERROR(__xludf.DUMMYFUNCTION("LET(acronym, REGEXREPLACE(B245, ""(\w)\w*\s*"", ""$1""), IF(LEN(acronym) = 1, LEFT(B245, 2), acronym) &amp; C245 &amp; ""-b"")"),"AEénCE1-b")</f>
        <v>AEénCE1-b</v>
      </c>
      <c r="E245" s="3" t="s">
        <v>457</v>
      </c>
      <c r="F245" s="3" t="s">
        <v>69</v>
      </c>
      <c r="H245" s="9" t="str">
        <f t="shared" si="2"/>
        <v>grand-AEénCE1-b</v>
      </c>
    </row>
    <row r="246">
      <c r="A246" s="7" t="s">
        <v>513</v>
      </c>
      <c r="B246" s="2" t="s">
        <v>456</v>
      </c>
      <c r="C246" s="3" t="s">
        <v>64</v>
      </c>
      <c r="D246" s="10" t="str">
        <f>IFERROR(__xludf.DUMMYFUNCTION("LET(acronym, REGEXREPLACE(B246, ""(\w)\w*\s*"", ""$1""), IF(LEN(acronym) = 1, LEFT(B246, 2), acronym) &amp; C246 &amp; ""-b"")"),"AEénCE2-b")</f>
        <v>AEénCE2-b</v>
      </c>
      <c r="E246" s="3" t="s">
        <v>458</v>
      </c>
      <c r="F246" s="3" t="s">
        <v>175</v>
      </c>
      <c r="H246" s="9" t="str">
        <f t="shared" si="2"/>
        <v>grand-AEénCE2-b</v>
      </c>
    </row>
    <row r="247">
      <c r="A247" s="7" t="s">
        <v>513</v>
      </c>
      <c r="B247" s="2" t="s">
        <v>456</v>
      </c>
      <c r="C247" s="3" t="s">
        <v>66</v>
      </c>
      <c r="D247" s="10" t="str">
        <f>IFERROR(__xludf.DUMMYFUNCTION("LET(acronym, REGEXREPLACE(B247, ""(\w)\w*\s*"", ""$1""), IF(LEN(acronym) = 1, LEFT(B247, 2), acronym) &amp; C247 &amp; ""-b"")"),"AEénCE3-b")</f>
        <v>AEénCE3-b</v>
      </c>
      <c r="E247" s="3" t="s">
        <v>459</v>
      </c>
      <c r="F247" s="3" t="s">
        <v>412</v>
      </c>
      <c r="H247" s="9" t="str">
        <f t="shared" si="2"/>
        <v>grand-AEénCE3-b</v>
      </c>
    </row>
    <row r="248">
      <c r="A248" s="7" t="s">
        <v>513</v>
      </c>
      <c r="B248" s="2" t="s">
        <v>456</v>
      </c>
      <c r="C248" s="3" t="s">
        <v>112</v>
      </c>
      <c r="D248" s="10" t="str">
        <f>IFERROR(__xludf.DUMMYFUNCTION("LET(acronym, REGEXREPLACE(B248, ""(\w)\w*\s*"", ""$1""), IF(LEN(acronym) = 1, LEFT(B248, 2), acronym) &amp; C248 &amp; ""-b"")"),"AEénCE4-b")</f>
        <v>AEénCE4-b</v>
      </c>
      <c r="E248" s="3" t="s">
        <v>460</v>
      </c>
      <c r="F248" s="3" t="s">
        <v>156</v>
      </c>
      <c r="H248" s="9" t="str">
        <f t="shared" si="2"/>
        <v>grand-AEénCE4-b</v>
      </c>
    </row>
    <row r="249">
      <c r="A249" s="7" t="s">
        <v>513</v>
      </c>
      <c r="B249" s="2" t="s">
        <v>247</v>
      </c>
      <c r="C249" s="3" t="s">
        <v>62</v>
      </c>
      <c r="D249" s="10" t="str">
        <f>IFERROR(__xludf.DUMMYFUNCTION("LET(acronym, REGEXREPLACE(B249, ""(\w)\w*\s*"", ""$1""), IF(LEN(acronym) = 1, LEFT(B249, 2), acronym) &amp; C249 &amp; ""-b"")"),"MúsCE1-b")</f>
        <v>MúsCE1-b</v>
      </c>
      <c r="E249" s="3" t="s">
        <v>461</v>
      </c>
      <c r="F249" s="3" t="s">
        <v>69</v>
      </c>
      <c r="H249" s="9" t="str">
        <f t="shared" si="2"/>
        <v>grand-MúsCE1-b</v>
      </c>
    </row>
    <row r="250">
      <c r="A250" s="7" t="s">
        <v>513</v>
      </c>
      <c r="B250" s="2" t="s">
        <v>247</v>
      </c>
      <c r="C250" s="3" t="s">
        <v>64</v>
      </c>
      <c r="D250" s="10" t="str">
        <f>IFERROR(__xludf.DUMMYFUNCTION("LET(acronym, REGEXREPLACE(B250, ""(\w)\w*\s*"", ""$1""), IF(LEN(acronym) = 1, LEFT(B250, 2), acronym) &amp; C250 &amp; ""-b"")"),"MúsCE2-b")</f>
        <v>MúsCE2-b</v>
      </c>
      <c r="E250" s="3" t="s">
        <v>462</v>
      </c>
      <c r="F250" s="3" t="s">
        <v>71</v>
      </c>
      <c r="H250" s="9" t="str">
        <f t="shared" si="2"/>
        <v>grand-MúsCE2-b</v>
      </c>
    </row>
    <row r="251">
      <c r="A251" s="7" t="s">
        <v>513</v>
      </c>
      <c r="B251" s="2" t="s">
        <v>247</v>
      </c>
      <c r="C251" s="3" t="s">
        <v>66</v>
      </c>
      <c r="D251" s="10" t="str">
        <f>IFERROR(__xludf.DUMMYFUNCTION("LET(acronym, REGEXREPLACE(B251, ""(\w)\w*\s*"", ""$1""), IF(LEN(acronym) = 1, LEFT(B251, 2), acronym) &amp; C251 &amp; ""-b"")"),"MúsCE3-b")</f>
        <v>MúsCE3-b</v>
      </c>
      <c r="E251" s="3" t="s">
        <v>463</v>
      </c>
      <c r="F251" s="3" t="s">
        <v>180</v>
      </c>
      <c r="H251" s="9" t="str">
        <f t="shared" si="2"/>
        <v>grand-MúsCE3-b</v>
      </c>
    </row>
    <row r="252">
      <c r="A252" s="7" t="s">
        <v>513</v>
      </c>
      <c r="B252" s="2" t="s">
        <v>247</v>
      </c>
      <c r="C252" s="3" t="s">
        <v>112</v>
      </c>
      <c r="D252" s="10" t="str">
        <f>IFERROR(__xludf.DUMMYFUNCTION("LET(acronym, REGEXREPLACE(B252, ""(\w)\w*\s*"", ""$1""), IF(LEN(acronym) = 1, LEFT(B252, 2), acronym) &amp; C252 &amp; ""-b"")"),"MúsCE4-b")</f>
        <v>MúsCE4-b</v>
      </c>
      <c r="E252" s="3" t="s">
        <v>464</v>
      </c>
      <c r="F252" s="3" t="s">
        <v>412</v>
      </c>
      <c r="H252" s="9" t="str">
        <f t="shared" si="2"/>
        <v>grand-MúsCE4-b</v>
      </c>
    </row>
    <row r="253">
      <c r="A253" s="7" t="s">
        <v>513</v>
      </c>
      <c r="B253" s="2" t="s">
        <v>465</v>
      </c>
      <c r="C253" s="3" t="s">
        <v>62</v>
      </c>
      <c r="D253" s="10" t="str">
        <f>IFERROR(__xludf.DUMMYFUNCTION("LET(acronym, REGEXREPLACE(B253, ""(\w)\w*\s*"", ""$1""), IF(LEN(acronym) = 1, LEFT(B253, 2), acronym) &amp; C253 &amp; ""-b""  &amp; ""-alt"")"),"CAICE1-b-alt")</f>
        <v>CAICE1-b-alt</v>
      </c>
      <c r="E253" s="3" t="s">
        <v>466</v>
      </c>
      <c r="F253" s="3" t="s">
        <v>69</v>
      </c>
      <c r="H253" s="9" t="str">
        <f t="shared" si="2"/>
        <v>grand-CAICE1-b-alt</v>
      </c>
    </row>
    <row r="254">
      <c r="A254" s="7" t="s">
        <v>513</v>
      </c>
      <c r="B254" s="2" t="s">
        <v>465</v>
      </c>
      <c r="C254" s="3" t="s">
        <v>64</v>
      </c>
      <c r="D254" s="10" t="str">
        <f>IFERROR(__xludf.DUMMYFUNCTION("LET(acronym, REGEXREPLACE(B254, ""(\w)\w*\s*"", ""$1""), IF(LEN(acronym) = 1, LEFT(B254, 2), acronym) &amp; C254 &amp; ""-b""  &amp; ""-alt"")"),"CAICE2-b-alt")</f>
        <v>CAICE2-b-alt</v>
      </c>
      <c r="E254" s="3" t="s">
        <v>467</v>
      </c>
      <c r="F254" s="3" t="s">
        <v>69</v>
      </c>
      <c r="H254" s="9" t="str">
        <f t="shared" si="2"/>
        <v>grand-CAICE2-b-alt</v>
      </c>
    </row>
    <row r="255">
      <c r="A255" s="7" t="s">
        <v>513</v>
      </c>
      <c r="B255" s="2" t="s">
        <v>465</v>
      </c>
      <c r="C255" s="3" t="s">
        <v>66</v>
      </c>
      <c r="D255" s="10" t="str">
        <f>IFERROR(__xludf.DUMMYFUNCTION("LET(acronym, REGEXREPLACE(B255, ""(\w)\w*\s*"", ""$1""), IF(LEN(acronym) = 1, LEFT(B255, 2), acronym) &amp; C255 &amp; ""-b""  &amp; ""-alt"")"),"CAICE3-b-alt")</f>
        <v>CAICE3-b-alt</v>
      </c>
      <c r="E255" s="3" t="s">
        <v>468</v>
      </c>
      <c r="F255" s="3" t="s">
        <v>180</v>
      </c>
      <c r="H255" s="9" t="str">
        <f t="shared" si="2"/>
        <v>grand-CAICE3-b-alt</v>
      </c>
    </row>
    <row r="256">
      <c r="A256" s="7" t="s">
        <v>513</v>
      </c>
      <c r="B256" s="2" t="s">
        <v>465</v>
      </c>
      <c r="C256" s="3" t="s">
        <v>112</v>
      </c>
      <c r="D256" s="10" t="str">
        <f>IFERROR(__xludf.DUMMYFUNCTION("LET(acronym, REGEXREPLACE(B256, ""(\w)\w*\s*"", ""$1""), IF(LEN(acronym) = 1, LEFT(B256, 2), acronym) &amp; C256 &amp; ""-b""  &amp; ""-alt"")"),"CAICE4-b-alt")</f>
        <v>CAICE4-b-alt</v>
      </c>
      <c r="E256" s="3" t="s">
        <v>469</v>
      </c>
      <c r="F256" s="3" t="s">
        <v>253</v>
      </c>
      <c r="H256" s="9" t="str">
        <f t="shared" si="2"/>
        <v>grand-CAICE4-b-alt</v>
      </c>
    </row>
    <row r="257">
      <c r="A257" s="7" t="s">
        <v>513</v>
      </c>
      <c r="B257" s="2" t="s">
        <v>470</v>
      </c>
      <c r="C257" s="3" t="s">
        <v>62</v>
      </c>
      <c r="D257" s="10" t="str">
        <f>IFERROR(__xludf.DUMMYFUNCTION("LET(acronym, REGEXREPLACE(B257, ""(\w)\w*\s*"", ""$1""), IF(LEN(acronym) = 1, LEFT(B257, 2), acronym) &amp; C257 &amp; ""-b"")"),"CAICE1-b")</f>
        <v>CAICE1-b</v>
      </c>
      <c r="E257" s="3" t="s">
        <v>471</v>
      </c>
      <c r="F257" s="3" t="s">
        <v>243</v>
      </c>
      <c r="H257" s="9" t="str">
        <f t="shared" si="2"/>
        <v>grand-CAICE1-b</v>
      </c>
    </row>
    <row r="258">
      <c r="A258" s="7" t="s">
        <v>513</v>
      </c>
      <c r="B258" s="2" t="s">
        <v>470</v>
      </c>
      <c r="C258" s="3" t="s">
        <v>64</v>
      </c>
      <c r="D258" s="10" t="str">
        <f>IFERROR(__xludf.DUMMYFUNCTION("LET(acronym, REGEXREPLACE(B258, ""(\w)\w*\s*"", ""$1""), IF(LEN(acronym) = 1, LEFT(B258, 2), acronym) &amp; C258 &amp; ""-b"")"),"CAICE2-b")</f>
        <v>CAICE2-b</v>
      </c>
      <c r="E258" s="3" t="s">
        <v>472</v>
      </c>
      <c r="F258" s="3" t="s">
        <v>180</v>
      </c>
      <c r="H258" s="9" t="str">
        <f t="shared" si="2"/>
        <v>grand-CAICE2-b</v>
      </c>
    </row>
    <row r="259">
      <c r="A259" s="7" t="s">
        <v>513</v>
      </c>
      <c r="B259" s="2" t="s">
        <v>470</v>
      </c>
      <c r="C259" s="3" t="s">
        <v>66</v>
      </c>
      <c r="D259" s="10" t="str">
        <f>IFERROR(__xludf.DUMMYFUNCTION("LET(acronym, REGEXREPLACE(B259, ""(\w)\w*\s*"", ""$1""), IF(LEN(acronym) = 1, LEFT(B259, 2), acronym) &amp; C259 &amp; ""-b"")"),"CAICE3-b")</f>
        <v>CAICE3-b</v>
      </c>
      <c r="E259" s="3" t="s">
        <v>473</v>
      </c>
      <c r="F259" s="3" t="s">
        <v>35</v>
      </c>
      <c r="H259" s="9" t="str">
        <f t="shared" si="2"/>
        <v>grand-CAICE3-b</v>
      </c>
    </row>
    <row r="260">
      <c r="A260" s="7" t="s">
        <v>513</v>
      </c>
      <c r="B260" s="2" t="s">
        <v>470</v>
      </c>
      <c r="C260" s="3" t="s">
        <v>112</v>
      </c>
      <c r="D260" s="10" t="str">
        <f>IFERROR(__xludf.DUMMYFUNCTION("LET(acronym, REGEXREPLACE(B260, ""(\w)\w*\s*"", ""$1""), IF(LEN(acronym) = 1, LEFT(B260, 2), acronym) &amp; C260 &amp; ""-b"")"),"CAICE4-b")</f>
        <v>CAICE4-b</v>
      </c>
      <c r="E260" s="3" t="s">
        <v>474</v>
      </c>
      <c r="F260" s="3" t="s">
        <v>219</v>
      </c>
      <c r="H260" s="9" t="str">
        <f t="shared" si="2"/>
        <v>grand-CAICE4-b</v>
      </c>
    </row>
    <row r="261">
      <c r="A261" s="7" t="s">
        <v>513</v>
      </c>
      <c r="B261" s="2" t="s">
        <v>475</v>
      </c>
      <c r="C261" s="3" t="s">
        <v>62</v>
      </c>
      <c r="D261" s="10" t="str">
        <f>IFERROR(__xludf.DUMMYFUNCTION("LET(acronym, REGEXREPLACE(B261, ""(\w)\w*\s*"", ""$1""), IF(LEN(acronym) = 1, LEFT(B261, 2), acronym) &amp; C261 &amp; ""-b"")"),"DñoCE1-b")</f>
        <v>DñoCE1-b</v>
      </c>
      <c r="E261" s="3" t="s">
        <v>476</v>
      </c>
      <c r="F261" s="3" t="s">
        <v>69</v>
      </c>
      <c r="H261" s="9" t="str">
        <f t="shared" si="2"/>
        <v>grand-DñoCE1-b</v>
      </c>
    </row>
    <row r="262">
      <c r="A262" s="7" t="s">
        <v>513</v>
      </c>
      <c r="B262" s="2" t="s">
        <v>475</v>
      </c>
      <c r="C262" s="3" t="s">
        <v>64</v>
      </c>
      <c r="D262" s="10" t="str">
        <f>IFERROR(__xludf.DUMMYFUNCTION("LET(acronym, REGEXREPLACE(B262, ""(\w)\w*\s*"", ""$1""), IF(LEN(acronym) = 1, LEFT(B262, 2), acronym) &amp; C262 &amp; ""-b"")"),"DñoCE2-b")</f>
        <v>DñoCE2-b</v>
      </c>
      <c r="E262" s="3" t="s">
        <v>477</v>
      </c>
      <c r="F262" s="3" t="s">
        <v>175</v>
      </c>
      <c r="H262" s="9" t="str">
        <f t="shared" si="2"/>
        <v>grand-DñoCE2-b</v>
      </c>
    </row>
    <row r="263">
      <c r="A263" s="7" t="s">
        <v>513</v>
      </c>
      <c r="B263" s="2" t="s">
        <v>475</v>
      </c>
      <c r="C263" s="3" t="s">
        <v>66</v>
      </c>
      <c r="D263" s="10" t="str">
        <f>IFERROR(__xludf.DUMMYFUNCTION("LET(acronym, REGEXREPLACE(B263, ""(\w)\w*\s*"", ""$1""), IF(LEN(acronym) = 1, LEFT(B263, 2), acronym) &amp; C263 &amp; ""-b"")"),"DñoCE3-b")</f>
        <v>DñoCE3-b</v>
      </c>
      <c r="E263" s="3" t="s">
        <v>478</v>
      </c>
      <c r="F263" s="3" t="s">
        <v>35</v>
      </c>
      <c r="H263" s="9" t="str">
        <f t="shared" si="2"/>
        <v>grand-DñoCE3-b</v>
      </c>
    </row>
    <row r="264">
      <c r="A264" s="7" t="s">
        <v>513</v>
      </c>
      <c r="B264" s="2" t="s">
        <v>475</v>
      </c>
      <c r="C264" s="3" t="s">
        <v>112</v>
      </c>
      <c r="D264" s="10" t="str">
        <f>IFERROR(__xludf.DUMMYFUNCTION("LET(acronym, REGEXREPLACE(B264, ""(\w)\w*\s*"", ""$1""), IF(LEN(acronym) = 1, LEFT(B264, 2), acronym) &amp; C264 &amp; ""-b"")"),"DñoCE4-b")</f>
        <v>DñoCE4-b</v>
      </c>
      <c r="E264" s="3" t="s">
        <v>479</v>
      </c>
      <c r="F264" s="3" t="s">
        <v>156</v>
      </c>
      <c r="H264" s="9" t="str">
        <f t="shared" si="2"/>
        <v>grand-DñoCE4-b</v>
      </c>
    </row>
    <row r="265">
      <c r="A265" s="7" t="s">
        <v>513</v>
      </c>
      <c r="B265" s="2" t="s">
        <v>480</v>
      </c>
      <c r="C265" s="3" t="s">
        <v>62</v>
      </c>
      <c r="D265" s="10" t="str">
        <f>IFERROR(__xludf.DUMMYFUNCTION("LET(acronym, REGEXREPLACE(B265, ""(\w)\w*\s*"", ""$1""), IF(LEN(acronym) = 1, LEFT(B265, 2), acronym) &amp; C265 &amp; ""-b"")"),"VoCE1-b")</f>
        <v>VoCE1-b</v>
      </c>
      <c r="E265" s="3" t="s">
        <v>481</v>
      </c>
      <c r="F265" s="3" t="s">
        <v>69</v>
      </c>
      <c r="H265" s="9" t="str">
        <f t="shared" si="2"/>
        <v>grand-VoCE1-b</v>
      </c>
    </row>
    <row r="266">
      <c r="A266" s="7" t="s">
        <v>513</v>
      </c>
      <c r="B266" s="2" t="s">
        <v>480</v>
      </c>
      <c r="C266" s="3" t="s">
        <v>64</v>
      </c>
      <c r="D266" s="10" t="str">
        <f>IFERROR(__xludf.DUMMYFUNCTION("LET(acronym, REGEXREPLACE(B266, ""(\w)\w*\s*"", ""$1""), IF(LEN(acronym) = 1, LEFT(B266, 2), acronym) &amp; C266 &amp; ""-b"")"),"VoCE2-b")</f>
        <v>VoCE2-b</v>
      </c>
      <c r="E266" s="3" t="s">
        <v>482</v>
      </c>
      <c r="F266" s="3" t="s">
        <v>71</v>
      </c>
      <c r="H266" s="9" t="str">
        <f t="shared" si="2"/>
        <v>grand-VoCE2-b</v>
      </c>
    </row>
    <row r="267">
      <c r="A267" s="7" t="s">
        <v>513</v>
      </c>
      <c r="B267" s="2" t="s">
        <v>480</v>
      </c>
      <c r="C267" s="3" t="s">
        <v>66</v>
      </c>
      <c r="D267" s="10" t="str">
        <f>IFERROR(__xludf.DUMMYFUNCTION("LET(acronym, REGEXREPLACE(B267, ""(\w)\w*\s*"", ""$1""), IF(LEN(acronym) = 1, LEFT(B267, 2), acronym) &amp; C267 &amp; ""-b"")"),"VoCE3-b")</f>
        <v>VoCE3-b</v>
      </c>
      <c r="E267" s="3" t="s">
        <v>483</v>
      </c>
      <c r="F267" s="3" t="s">
        <v>253</v>
      </c>
      <c r="H267" s="9" t="str">
        <f t="shared" si="2"/>
        <v>grand-VoCE3-b</v>
      </c>
    </row>
    <row r="268">
      <c r="A268" s="7" t="s">
        <v>513</v>
      </c>
      <c r="B268" s="2" t="s">
        <v>480</v>
      </c>
      <c r="C268" s="3" t="s">
        <v>112</v>
      </c>
      <c r="D268" s="10" t="str">
        <f>IFERROR(__xludf.DUMMYFUNCTION("LET(acronym, REGEXREPLACE(B268, ""(\w)\w*\s*"", ""$1""), IF(LEN(acronym) = 1, LEFT(B268, 2), acronym) &amp; C268 &amp; ""-b"")"),"VoCE4-b")</f>
        <v>VoCE4-b</v>
      </c>
      <c r="E268" s="3" t="s">
        <v>484</v>
      </c>
      <c r="F268" s="3" t="s">
        <v>156</v>
      </c>
      <c r="H268" s="9" t="str">
        <f t="shared" si="2"/>
        <v>grand-VoCE4-b</v>
      </c>
    </row>
    <row r="269">
      <c r="A269" s="7" t="s">
        <v>513</v>
      </c>
      <c r="B269" s="2" t="s">
        <v>485</v>
      </c>
      <c r="C269" s="3" t="s">
        <v>62</v>
      </c>
      <c r="D269" s="10" t="str">
        <f>IFERROR(__xludf.DUMMYFUNCTION("LET(acronym, REGEXREPLACE(B269, ""(\w)\w*\s*"", ""$1""), IF(LEN(acronym) = 1, LEFT(B269, 2), acronym) &amp; C269 &amp; ""-b"")"),"MCyAísCE1-b")</f>
        <v>MCyAísCE1-b</v>
      </c>
      <c r="E269" s="3" t="s">
        <v>486</v>
      </c>
      <c r="F269" s="3" t="s">
        <v>69</v>
      </c>
      <c r="H269" s="9" t="str">
        <f t="shared" si="2"/>
        <v>grand-MCyAísCE1-b</v>
      </c>
    </row>
    <row r="270">
      <c r="A270" s="7" t="s">
        <v>513</v>
      </c>
      <c r="B270" s="2" t="s">
        <v>485</v>
      </c>
      <c r="C270" s="3" t="s">
        <v>64</v>
      </c>
      <c r="D270" s="10" t="str">
        <f>IFERROR(__xludf.DUMMYFUNCTION("LET(acronym, REGEXREPLACE(B270, ""(\w)\w*\s*"", ""$1""), IF(LEN(acronym) = 1, LEFT(B270, 2), acronym) &amp; C270 &amp; ""-b"")"),"MCyAísCE2-b")</f>
        <v>MCyAísCE2-b</v>
      </c>
      <c r="E270" s="3" t="s">
        <v>487</v>
      </c>
      <c r="F270" s="3" t="s">
        <v>69</v>
      </c>
      <c r="H270" s="9" t="str">
        <f t="shared" si="2"/>
        <v>grand-MCyAísCE2-b</v>
      </c>
    </row>
    <row r="271">
      <c r="A271" s="7" t="s">
        <v>513</v>
      </c>
      <c r="B271" s="2" t="s">
        <v>485</v>
      </c>
      <c r="C271" s="3" t="s">
        <v>66</v>
      </c>
      <c r="D271" s="10" t="str">
        <f>IFERROR(__xludf.DUMMYFUNCTION("LET(acronym, REGEXREPLACE(B271, ""(\w)\w*\s*"", ""$1""), IF(LEN(acronym) = 1, LEFT(B271, 2), acronym) &amp; C271 &amp; ""-b"")"),"MCyAísCE3-b")</f>
        <v>MCyAísCE3-b</v>
      </c>
      <c r="E271" s="3" t="s">
        <v>488</v>
      </c>
      <c r="F271" s="3" t="s">
        <v>69</v>
      </c>
      <c r="H271" s="9" t="str">
        <f t="shared" si="2"/>
        <v>grand-MCyAísCE3-b</v>
      </c>
    </row>
    <row r="272">
      <c r="A272" s="7" t="s">
        <v>513</v>
      </c>
      <c r="B272" s="2" t="s">
        <v>485</v>
      </c>
      <c r="C272" s="3" t="s">
        <v>112</v>
      </c>
      <c r="D272" s="10" t="str">
        <f>IFERROR(__xludf.DUMMYFUNCTION("LET(acronym, REGEXREPLACE(B272, ""(\w)\w*\s*"", ""$1""), IF(LEN(acronym) = 1, LEFT(B272, 2), acronym) &amp; C272 &amp; ""-b"")"),"MCyAísCE4-b")</f>
        <v>MCyAísCE4-b</v>
      </c>
      <c r="E272" s="3" t="s">
        <v>489</v>
      </c>
      <c r="F272" s="3" t="s">
        <v>419</v>
      </c>
      <c r="H272" s="9" t="str">
        <f t="shared" si="2"/>
        <v>grand-MCyAísCE4-b</v>
      </c>
    </row>
    <row r="273">
      <c r="A273" s="7" t="s">
        <v>513</v>
      </c>
      <c r="B273" s="2" t="s">
        <v>490</v>
      </c>
      <c r="C273" s="3" t="s">
        <v>62</v>
      </c>
      <c r="D273" s="10" t="str">
        <f>IFERROR(__xludf.DUMMYFUNCTION("LET(acronym, REGEXREPLACE(B273, ""(\w)\w*\s*"", ""$1""), IF(LEN(acronym) = 1, LEFT(B273, 2), acronym) &amp; C273 &amp; ""-b"")"),"PíaCE1-b")</f>
        <v>PíaCE1-b</v>
      </c>
      <c r="E273" s="3" t="s">
        <v>491</v>
      </c>
      <c r="F273" s="3" t="s">
        <v>187</v>
      </c>
      <c r="H273" s="9" t="str">
        <f t="shared" si="2"/>
        <v>grand-PíaCE1-b</v>
      </c>
    </row>
    <row r="274">
      <c r="A274" s="7" t="s">
        <v>513</v>
      </c>
      <c r="B274" s="2" t="s">
        <v>490</v>
      </c>
      <c r="C274" s="3" t="s">
        <v>64</v>
      </c>
      <c r="D274" s="10" t="str">
        <f>IFERROR(__xludf.DUMMYFUNCTION("LET(acronym, REGEXREPLACE(B274, ""(\w)\w*\s*"", ""$1""), IF(LEN(acronym) = 1, LEFT(B274, 2), acronym) &amp; C274 &amp; ""-b"")"),"PíaCE2-b")</f>
        <v>PíaCE2-b</v>
      </c>
      <c r="E274" s="3" t="s">
        <v>492</v>
      </c>
      <c r="F274" s="3" t="s">
        <v>187</v>
      </c>
      <c r="H274" s="9" t="str">
        <f t="shared" si="2"/>
        <v>grand-PíaCE2-b</v>
      </c>
    </row>
    <row r="275">
      <c r="A275" s="7" t="s">
        <v>513</v>
      </c>
      <c r="B275" s="2" t="s">
        <v>490</v>
      </c>
      <c r="C275" s="3" t="s">
        <v>66</v>
      </c>
      <c r="D275" s="10" t="str">
        <f>IFERROR(__xludf.DUMMYFUNCTION("LET(acronym, REGEXREPLACE(B275, ""(\w)\w*\s*"", ""$1""), IF(LEN(acronym) = 1, LEFT(B275, 2), acronym) &amp; C275 &amp; ""-b"")"),"PíaCE3-b")</f>
        <v>PíaCE3-b</v>
      </c>
      <c r="E275" s="3" t="s">
        <v>493</v>
      </c>
      <c r="F275" s="3" t="s">
        <v>184</v>
      </c>
      <c r="H275" s="9" t="str">
        <f t="shared" si="2"/>
        <v>grand-PíaCE3-b</v>
      </c>
    </row>
    <row r="276">
      <c r="A276" s="7" t="s">
        <v>513</v>
      </c>
      <c r="B276" s="2" t="s">
        <v>490</v>
      </c>
      <c r="C276" s="3" t="s">
        <v>112</v>
      </c>
      <c r="D276" s="10" t="str">
        <f>IFERROR(__xludf.DUMMYFUNCTION("LET(acronym, REGEXREPLACE(B276, ""(\w)\w*\s*"", ""$1""), IF(LEN(acronym) = 1, LEFT(B276, 2), acronym) &amp; C276 &amp; ""-b"")"),"PíaCE4-b")</f>
        <v>PíaCE4-b</v>
      </c>
      <c r="E276" s="3" t="s">
        <v>494</v>
      </c>
      <c r="F276" s="3" t="s">
        <v>495</v>
      </c>
      <c r="H276" s="9" t="str">
        <f t="shared" si="2"/>
        <v>grand-PíaCE4-b</v>
      </c>
    </row>
    <row r="277">
      <c r="A277" s="7" t="s">
        <v>513</v>
      </c>
      <c r="B277" s="2" t="s">
        <v>496</v>
      </c>
      <c r="C277" s="3" t="s">
        <v>62</v>
      </c>
      <c r="D277" s="10" t="str">
        <f>IFERROR(__xludf.DUMMYFUNCTION("LET(acronym, REGEXREPLACE(B277, ""(\w)\w*\s*"", ""$1""), IF(LEN(acronym) = 1, LEFT(B277, 2), acronym) &amp; C277 &amp; ""-b""  &amp; ""-alt"")"),"SLEICE1-b-alt")</f>
        <v>SLEICE1-b-alt</v>
      </c>
      <c r="E277" s="3" t="s">
        <v>497</v>
      </c>
      <c r="F277" s="3" t="s">
        <v>15</v>
      </c>
      <c r="H277" s="9" t="str">
        <f t="shared" si="2"/>
        <v>grand-SLEICE1-b-alt</v>
      </c>
    </row>
    <row r="278">
      <c r="A278" s="7" t="s">
        <v>513</v>
      </c>
      <c r="B278" s="2" t="s">
        <v>496</v>
      </c>
      <c r="C278" s="3" t="s">
        <v>64</v>
      </c>
      <c r="D278" s="10" t="str">
        <f>IFERROR(__xludf.DUMMYFUNCTION("LET(acronym, REGEXREPLACE(B278, ""(\w)\w*\s*"", ""$1""), IF(LEN(acronym) = 1, LEFT(B278, 2), acronym) &amp; C278 &amp; ""-b""  &amp; ""-alt"")"),"SLEICE2-b-alt")</f>
        <v>SLEICE2-b-alt</v>
      </c>
      <c r="E278" s="3" t="s">
        <v>498</v>
      </c>
      <c r="F278" s="3" t="s">
        <v>15</v>
      </c>
      <c r="H278" s="9" t="str">
        <f t="shared" si="2"/>
        <v>grand-SLEICE2-b-alt</v>
      </c>
    </row>
    <row r="279">
      <c r="A279" s="7" t="s">
        <v>513</v>
      </c>
      <c r="B279" s="2" t="s">
        <v>496</v>
      </c>
      <c r="C279" s="3" t="s">
        <v>66</v>
      </c>
      <c r="D279" s="10" t="str">
        <f>IFERROR(__xludf.DUMMYFUNCTION("LET(acronym, REGEXREPLACE(B279, ""(\w)\w*\s*"", ""$1""), IF(LEN(acronym) = 1, LEFT(B279, 2), acronym) &amp; C279 &amp; ""-b""  &amp; ""-alt"")"),"SLEICE3-b-alt")</f>
        <v>SLEICE3-b-alt</v>
      </c>
      <c r="E279" s="3" t="s">
        <v>499</v>
      </c>
      <c r="F279" s="3" t="s">
        <v>19</v>
      </c>
      <c r="H279" s="9" t="str">
        <f t="shared" si="2"/>
        <v>grand-SLEICE3-b-alt</v>
      </c>
    </row>
    <row r="280">
      <c r="A280" s="7" t="s">
        <v>513</v>
      </c>
      <c r="B280" s="2" t="s">
        <v>496</v>
      </c>
      <c r="C280" s="3" t="s">
        <v>112</v>
      </c>
      <c r="D280" s="10" t="str">
        <f>IFERROR(__xludf.DUMMYFUNCTION("LET(acronym, REGEXREPLACE(B280, ""(\w)\w*\s*"", ""$1""), IF(LEN(acronym) = 1, LEFT(B280, 2), acronym) &amp; C280 &amp; ""-b""  &amp; ""-alt"")"),"SLEICE4-b-alt")</f>
        <v>SLEICE4-b-alt</v>
      </c>
      <c r="E280" s="3" t="s">
        <v>500</v>
      </c>
      <c r="F280" s="3" t="s">
        <v>35</v>
      </c>
      <c r="H280" s="9" t="str">
        <f t="shared" si="2"/>
        <v>grand-SLEICE4-b-alt</v>
      </c>
    </row>
    <row r="281">
      <c r="A281" s="7" t="s">
        <v>513</v>
      </c>
      <c r="B281" s="2" t="s">
        <v>501</v>
      </c>
      <c r="C281" s="3" t="s">
        <v>62</v>
      </c>
      <c r="D281" s="10" t="str">
        <f>IFERROR(__xludf.DUMMYFUNCTION("LET(acronym, REGEXREPLACE(B281, ""(\w)\w*\s*"", ""$1""), IF(LEN(acronym) = 1, LEFT(B281, 2), acronym) &amp; C281 &amp; ""-b"")"),"SLEICE1-b")</f>
        <v>SLEICE1-b</v>
      </c>
      <c r="E281" s="3" t="s">
        <v>502</v>
      </c>
      <c r="F281" s="3" t="s">
        <v>162</v>
      </c>
      <c r="H281" s="9" t="str">
        <f t="shared" si="2"/>
        <v>grand-SLEICE1-b</v>
      </c>
    </row>
    <row r="282">
      <c r="A282" s="7" t="s">
        <v>513</v>
      </c>
      <c r="B282" s="2" t="s">
        <v>501</v>
      </c>
      <c r="C282" s="3" t="s">
        <v>64</v>
      </c>
      <c r="D282" s="10" t="str">
        <f>IFERROR(__xludf.DUMMYFUNCTION("LET(acronym, REGEXREPLACE(B282, ""(\w)\w*\s*"", ""$1""), IF(LEN(acronym) = 1, LEFT(B282, 2), acronym) &amp; C282 &amp; ""-b"")"),"SLEICE2-b")</f>
        <v>SLEICE2-b</v>
      </c>
      <c r="E282" s="3" t="s">
        <v>503</v>
      </c>
      <c r="F282" s="3" t="s">
        <v>15</v>
      </c>
      <c r="H282" s="9" t="str">
        <f t="shared" si="2"/>
        <v>grand-SLEICE2-b</v>
      </c>
    </row>
    <row r="283">
      <c r="A283" s="7" t="s">
        <v>513</v>
      </c>
      <c r="B283" s="2" t="s">
        <v>501</v>
      </c>
      <c r="C283" s="3" t="s">
        <v>66</v>
      </c>
      <c r="D283" s="10" t="str">
        <f>IFERROR(__xludf.DUMMYFUNCTION("LET(acronym, REGEXREPLACE(B283, ""(\w)\w*\s*"", ""$1""), IF(LEN(acronym) = 1, LEFT(B283, 2), acronym) &amp; C283 &amp; ""-b"")"),"SLEICE3-b")</f>
        <v>SLEICE3-b</v>
      </c>
      <c r="E283" s="3" t="s">
        <v>504</v>
      </c>
      <c r="F283" s="3" t="s">
        <v>15</v>
      </c>
      <c r="H283" s="9" t="str">
        <f t="shared" si="2"/>
        <v>grand-SLEICE3-b</v>
      </c>
    </row>
    <row r="284">
      <c r="A284" s="7" t="s">
        <v>513</v>
      </c>
      <c r="B284" s="2" t="s">
        <v>501</v>
      </c>
      <c r="C284" s="3" t="s">
        <v>112</v>
      </c>
      <c r="D284" s="10" t="str">
        <f>IFERROR(__xludf.DUMMYFUNCTION("LET(acronym, REGEXREPLACE(B284, ""(\w)\w*\s*"", ""$1""), IF(LEN(acronym) = 1, LEFT(B284, 2), acronym) &amp; C284 &amp; ""-b"")"),"SLEICE4-b")</f>
        <v>SLEICE4-b</v>
      </c>
      <c r="E284" s="3" t="s">
        <v>505</v>
      </c>
      <c r="F284" s="3" t="s">
        <v>506</v>
      </c>
      <c r="H284" s="9" t="str">
        <f t="shared" si="2"/>
        <v>grand-SLEICE4-b</v>
      </c>
    </row>
    <row r="285">
      <c r="D285" s="11"/>
    </row>
    <row r="286">
      <c r="D286" s="11"/>
    </row>
    <row r="287">
      <c r="D287" s="11"/>
    </row>
    <row r="288">
      <c r="D288" s="11"/>
    </row>
    <row r="289">
      <c r="D289" s="11"/>
    </row>
    <row r="290">
      <c r="D290" s="11"/>
    </row>
    <row r="291">
      <c r="D291" s="11"/>
    </row>
    <row r="292">
      <c r="D292" s="11"/>
    </row>
    <row r="293">
      <c r="D293" s="11"/>
    </row>
    <row r="294">
      <c r="D294" s="11"/>
    </row>
    <row r="295">
      <c r="D295" s="11"/>
    </row>
    <row r="296">
      <c r="D296" s="11"/>
    </row>
    <row r="297">
      <c r="D297" s="11"/>
    </row>
    <row r="298">
      <c r="D298" s="11"/>
    </row>
    <row r="299">
      <c r="D299" s="11"/>
    </row>
    <row r="300">
      <c r="D300" s="11"/>
    </row>
    <row r="301">
      <c r="D301" s="11"/>
    </row>
    <row r="302">
      <c r="D302" s="11"/>
    </row>
    <row r="303">
      <c r="D303" s="11"/>
    </row>
    <row r="304">
      <c r="D304" s="11"/>
    </row>
    <row r="305">
      <c r="D305" s="11"/>
    </row>
    <row r="306">
      <c r="D306" s="11"/>
    </row>
    <row r="307">
      <c r="D307" s="11"/>
    </row>
    <row r="308">
      <c r="D308" s="11"/>
    </row>
    <row r="309">
      <c r="D309" s="11"/>
    </row>
    <row r="310">
      <c r="D310" s="11"/>
    </row>
    <row r="311">
      <c r="D311" s="11"/>
    </row>
    <row r="312">
      <c r="D312" s="11"/>
    </row>
    <row r="313">
      <c r="D313" s="11"/>
    </row>
    <row r="314">
      <c r="D314" s="11"/>
    </row>
    <row r="315">
      <c r="D315" s="11"/>
    </row>
    <row r="316">
      <c r="D316" s="11"/>
    </row>
    <row r="317">
      <c r="D317" s="11"/>
    </row>
    <row r="318">
      <c r="D318" s="11"/>
    </row>
    <row r="319">
      <c r="D319" s="11"/>
    </row>
    <row r="320">
      <c r="D320" s="11"/>
    </row>
    <row r="321">
      <c r="D321" s="11"/>
    </row>
    <row r="322">
      <c r="D322" s="11"/>
    </row>
    <row r="323">
      <c r="D323" s="11"/>
    </row>
    <row r="324">
      <c r="D324" s="11"/>
    </row>
    <row r="325">
      <c r="D325" s="11"/>
    </row>
    <row r="326">
      <c r="D326" s="11"/>
    </row>
    <row r="327">
      <c r="D327" s="11"/>
    </row>
    <row r="328">
      <c r="D328" s="11"/>
    </row>
    <row r="329">
      <c r="D329" s="11"/>
    </row>
    <row r="330">
      <c r="D330" s="11"/>
    </row>
    <row r="331">
      <c r="D331" s="11"/>
    </row>
    <row r="332">
      <c r="D332" s="11"/>
    </row>
    <row r="333">
      <c r="D333" s="11"/>
    </row>
    <row r="334">
      <c r="D334" s="11"/>
    </row>
    <row r="335">
      <c r="D335" s="11"/>
    </row>
    <row r="336">
      <c r="D336" s="11"/>
    </row>
    <row r="337">
      <c r="D337" s="11"/>
    </row>
    <row r="338">
      <c r="D338" s="11"/>
    </row>
    <row r="339">
      <c r="D339" s="11"/>
    </row>
    <row r="340">
      <c r="D340" s="11"/>
    </row>
    <row r="341">
      <c r="D341" s="11"/>
    </row>
    <row r="342">
      <c r="D342" s="11"/>
    </row>
    <row r="343">
      <c r="D343" s="11"/>
    </row>
    <row r="344">
      <c r="D344" s="11"/>
    </row>
    <row r="345">
      <c r="D345" s="11"/>
    </row>
    <row r="346">
      <c r="D346" s="11"/>
    </row>
    <row r="347">
      <c r="D347" s="11"/>
    </row>
    <row r="348">
      <c r="D348" s="11"/>
    </row>
    <row r="349">
      <c r="D349" s="11"/>
    </row>
    <row r="350">
      <c r="D350" s="11"/>
    </row>
    <row r="351">
      <c r="D351" s="11"/>
    </row>
    <row r="352">
      <c r="D352" s="11"/>
    </row>
    <row r="353">
      <c r="D353" s="11"/>
    </row>
    <row r="354">
      <c r="D354" s="11"/>
    </row>
    <row r="355">
      <c r="D355" s="11"/>
    </row>
    <row r="356">
      <c r="D356" s="11"/>
    </row>
    <row r="357">
      <c r="D357" s="11"/>
    </row>
    <row r="358">
      <c r="D358" s="11"/>
    </row>
    <row r="359">
      <c r="D359" s="11"/>
    </row>
    <row r="360">
      <c r="D360" s="11"/>
    </row>
    <row r="361">
      <c r="D361" s="11"/>
    </row>
    <row r="362">
      <c r="D362" s="11"/>
    </row>
    <row r="363">
      <c r="D363" s="11"/>
    </row>
    <row r="364">
      <c r="D364" s="11"/>
    </row>
    <row r="365">
      <c r="D365" s="11"/>
    </row>
    <row r="366">
      <c r="D366" s="11"/>
    </row>
    <row r="367">
      <c r="D367" s="11"/>
    </row>
    <row r="368">
      <c r="D368" s="11"/>
    </row>
    <row r="369">
      <c r="D369" s="11"/>
    </row>
    <row r="370">
      <c r="D370" s="11"/>
    </row>
    <row r="371">
      <c r="D371" s="11"/>
    </row>
    <row r="372">
      <c r="D372" s="11"/>
    </row>
    <row r="373">
      <c r="D373" s="11"/>
    </row>
    <row r="374">
      <c r="D374" s="11"/>
    </row>
    <row r="375">
      <c r="D375" s="11"/>
    </row>
    <row r="376">
      <c r="D376" s="11"/>
    </row>
    <row r="377">
      <c r="D377" s="11"/>
    </row>
    <row r="378">
      <c r="D378" s="11"/>
    </row>
    <row r="379">
      <c r="D379" s="11"/>
    </row>
    <row r="380">
      <c r="D380" s="11"/>
    </row>
    <row r="381">
      <c r="D381" s="11"/>
    </row>
    <row r="382">
      <c r="D382" s="11"/>
    </row>
    <row r="383">
      <c r="D383" s="11"/>
    </row>
    <row r="384">
      <c r="D384" s="11"/>
    </row>
    <row r="385">
      <c r="D385" s="11"/>
    </row>
    <row r="386">
      <c r="D386" s="11"/>
    </row>
    <row r="387">
      <c r="D387" s="11"/>
    </row>
    <row r="388">
      <c r="D388" s="11"/>
    </row>
    <row r="389">
      <c r="D389" s="11"/>
    </row>
    <row r="390">
      <c r="D390" s="11"/>
    </row>
    <row r="391">
      <c r="D391" s="11"/>
    </row>
    <row r="392">
      <c r="D392" s="11"/>
    </row>
    <row r="393">
      <c r="D393" s="11"/>
    </row>
    <row r="394">
      <c r="D394" s="11"/>
    </row>
    <row r="395">
      <c r="D395" s="11"/>
    </row>
    <row r="396">
      <c r="D396" s="11"/>
    </row>
    <row r="397">
      <c r="D397" s="11"/>
    </row>
    <row r="398">
      <c r="D398" s="11"/>
    </row>
    <row r="399">
      <c r="D399" s="11"/>
    </row>
    <row r="400">
      <c r="D400" s="11"/>
    </row>
    <row r="401">
      <c r="D401" s="11"/>
    </row>
    <row r="402">
      <c r="D402" s="11"/>
    </row>
    <row r="403">
      <c r="D403" s="11"/>
    </row>
    <row r="404">
      <c r="D404" s="11"/>
    </row>
    <row r="405">
      <c r="D405" s="11"/>
    </row>
    <row r="406">
      <c r="D406" s="11"/>
    </row>
    <row r="407">
      <c r="D407" s="11"/>
    </row>
    <row r="408">
      <c r="D408" s="11"/>
    </row>
    <row r="409">
      <c r="D409" s="11"/>
    </row>
    <row r="410">
      <c r="D410" s="11"/>
    </row>
    <row r="411">
      <c r="D411" s="11"/>
    </row>
    <row r="412">
      <c r="D412" s="11"/>
    </row>
    <row r="413">
      <c r="D413" s="11"/>
    </row>
    <row r="414">
      <c r="D414" s="11"/>
    </row>
    <row r="415">
      <c r="D415" s="11"/>
    </row>
    <row r="416">
      <c r="D416" s="11"/>
    </row>
    <row r="417">
      <c r="D417" s="11"/>
    </row>
    <row r="418">
      <c r="D418" s="11"/>
    </row>
    <row r="419">
      <c r="D419" s="11"/>
    </row>
    <row r="420">
      <c r="D420" s="11"/>
    </row>
    <row r="421">
      <c r="D421" s="11"/>
    </row>
    <row r="422">
      <c r="D422" s="11"/>
    </row>
    <row r="423">
      <c r="D423" s="11"/>
    </row>
    <row r="424">
      <c r="D424" s="11"/>
    </row>
    <row r="425">
      <c r="D425" s="11"/>
    </row>
    <row r="426">
      <c r="D426" s="11"/>
    </row>
    <row r="427">
      <c r="D427" s="11"/>
    </row>
    <row r="428">
      <c r="D428" s="11"/>
    </row>
    <row r="429">
      <c r="D429" s="11"/>
    </row>
    <row r="430">
      <c r="D430" s="11"/>
    </row>
    <row r="431">
      <c r="D431" s="11"/>
    </row>
    <row r="432">
      <c r="D432" s="11"/>
    </row>
    <row r="433">
      <c r="D433" s="11"/>
    </row>
    <row r="434">
      <c r="D434" s="11"/>
    </row>
    <row r="435">
      <c r="D435" s="11"/>
    </row>
    <row r="436">
      <c r="D436" s="11"/>
    </row>
    <row r="437">
      <c r="D437" s="11"/>
    </row>
    <row r="438">
      <c r="D438" s="11"/>
    </row>
    <row r="439">
      <c r="D439" s="11"/>
    </row>
    <row r="440">
      <c r="D440" s="11"/>
    </row>
    <row r="441">
      <c r="D441" s="11"/>
    </row>
    <row r="442">
      <c r="D442" s="11"/>
    </row>
    <row r="443">
      <c r="D443" s="11"/>
    </row>
    <row r="444">
      <c r="D444" s="11"/>
    </row>
    <row r="445">
      <c r="D445" s="11"/>
    </row>
    <row r="446">
      <c r="D446" s="11"/>
    </row>
    <row r="447">
      <c r="D447" s="11"/>
    </row>
    <row r="448">
      <c r="D448" s="11"/>
    </row>
    <row r="449">
      <c r="D449" s="11"/>
    </row>
    <row r="450">
      <c r="D450" s="11"/>
    </row>
    <row r="451">
      <c r="D451" s="11"/>
    </row>
    <row r="452">
      <c r="D452" s="11"/>
    </row>
    <row r="453">
      <c r="D453" s="11"/>
    </row>
    <row r="454">
      <c r="D454" s="11"/>
    </row>
    <row r="455">
      <c r="D455" s="11"/>
    </row>
    <row r="456">
      <c r="D456" s="11"/>
    </row>
    <row r="457">
      <c r="D457" s="11"/>
    </row>
    <row r="458">
      <c r="D458" s="11"/>
    </row>
    <row r="459">
      <c r="D459" s="11"/>
    </row>
    <row r="460">
      <c r="D460" s="11"/>
    </row>
    <row r="461">
      <c r="D461" s="11"/>
    </row>
    <row r="462">
      <c r="D462" s="11"/>
    </row>
    <row r="463">
      <c r="D463" s="11"/>
    </row>
    <row r="464">
      <c r="D464" s="11"/>
    </row>
    <row r="465">
      <c r="D465" s="11"/>
    </row>
    <row r="466">
      <c r="D466" s="11"/>
    </row>
    <row r="467">
      <c r="D467" s="11"/>
    </row>
    <row r="468">
      <c r="D468" s="11"/>
    </row>
    <row r="469">
      <c r="D469" s="11"/>
    </row>
    <row r="470">
      <c r="D470" s="11"/>
    </row>
    <row r="471">
      <c r="D471" s="11"/>
    </row>
    <row r="472">
      <c r="D472" s="11"/>
    </row>
    <row r="473">
      <c r="D473" s="11"/>
    </row>
    <row r="474">
      <c r="D474" s="11"/>
    </row>
    <row r="475">
      <c r="D475" s="11"/>
    </row>
    <row r="476">
      <c r="D476" s="11"/>
    </row>
    <row r="477">
      <c r="D477" s="11"/>
    </row>
    <row r="478">
      <c r="D478" s="11"/>
    </row>
    <row r="479">
      <c r="D479" s="11"/>
    </row>
    <row r="480">
      <c r="D480" s="11"/>
    </row>
    <row r="481">
      <c r="D481" s="11"/>
    </row>
    <row r="482">
      <c r="D482" s="11"/>
    </row>
    <row r="483">
      <c r="D483" s="11"/>
    </row>
    <row r="484">
      <c r="D484" s="11"/>
    </row>
    <row r="485">
      <c r="D485" s="11"/>
    </row>
    <row r="486">
      <c r="D486" s="11"/>
    </row>
    <row r="487">
      <c r="D487" s="11"/>
    </row>
    <row r="488">
      <c r="D488" s="11"/>
    </row>
    <row r="489">
      <c r="D489" s="11"/>
    </row>
    <row r="490">
      <c r="D490" s="11"/>
    </row>
    <row r="491">
      <c r="D491" s="11"/>
    </row>
    <row r="492">
      <c r="D492" s="11"/>
    </row>
    <row r="493">
      <c r="D493" s="11"/>
    </row>
    <row r="494">
      <c r="D494" s="11"/>
    </row>
    <row r="495">
      <c r="D495" s="11"/>
    </row>
    <row r="496">
      <c r="D496" s="11"/>
    </row>
    <row r="497">
      <c r="D497" s="11"/>
    </row>
    <row r="498">
      <c r="D498" s="11"/>
    </row>
    <row r="499">
      <c r="D499" s="11"/>
    </row>
    <row r="500">
      <c r="D500" s="11"/>
    </row>
    <row r="501">
      <c r="D501" s="11"/>
    </row>
    <row r="502">
      <c r="D502" s="11"/>
    </row>
    <row r="503">
      <c r="D503" s="11"/>
    </row>
    <row r="504">
      <c r="D504" s="11"/>
    </row>
    <row r="505">
      <c r="D505" s="11"/>
    </row>
    <row r="506">
      <c r="D506" s="11"/>
    </row>
    <row r="507">
      <c r="D507" s="11"/>
    </row>
    <row r="508">
      <c r="D508" s="11"/>
    </row>
    <row r="509">
      <c r="D509" s="11"/>
    </row>
    <row r="510">
      <c r="D510" s="11"/>
    </row>
    <row r="511">
      <c r="D511" s="11"/>
    </row>
    <row r="512">
      <c r="D512" s="11"/>
    </row>
    <row r="513">
      <c r="D513" s="11"/>
    </row>
    <row r="514">
      <c r="D514" s="11"/>
    </row>
    <row r="515">
      <c r="D515" s="11"/>
    </row>
    <row r="516">
      <c r="D516" s="11"/>
    </row>
    <row r="517">
      <c r="D517" s="11"/>
    </row>
    <row r="518">
      <c r="D518" s="11"/>
    </row>
    <row r="519">
      <c r="D519" s="11"/>
    </row>
    <row r="520">
      <c r="D520" s="11"/>
    </row>
    <row r="521">
      <c r="D521" s="11"/>
    </row>
    <row r="522">
      <c r="D522" s="11"/>
    </row>
    <row r="523">
      <c r="D523" s="11"/>
    </row>
    <row r="524">
      <c r="D524" s="11"/>
    </row>
    <row r="525">
      <c r="D525" s="11"/>
    </row>
    <row r="526">
      <c r="D526" s="11"/>
    </row>
    <row r="527">
      <c r="D527" s="11"/>
    </row>
    <row r="528">
      <c r="D528" s="11"/>
    </row>
    <row r="529">
      <c r="D529" s="11"/>
    </row>
    <row r="530">
      <c r="D530" s="11"/>
    </row>
    <row r="531">
      <c r="D531" s="11"/>
    </row>
    <row r="532">
      <c r="D532" s="11"/>
    </row>
    <row r="533">
      <c r="D533" s="11"/>
    </row>
    <row r="534">
      <c r="D534" s="11"/>
    </row>
    <row r="535">
      <c r="D535" s="11"/>
    </row>
    <row r="536">
      <c r="D536" s="11"/>
    </row>
    <row r="537">
      <c r="D537" s="11"/>
    </row>
    <row r="538">
      <c r="D538" s="11"/>
    </row>
    <row r="539">
      <c r="D539" s="11"/>
    </row>
    <row r="540">
      <c r="D540" s="11"/>
    </row>
    <row r="541">
      <c r="D541" s="11"/>
    </row>
    <row r="542">
      <c r="D542" s="11"/>
    </row>
    <row r="543">
      <c r="D543" s="11"/>
    </row>
    <row r="544">
      <c r="D544" s="11"/>
    </row>
    <row r="545">
      <c r="D545" s="11"/>
    </row>
    <row r="546">
      <c r="D546" s="11"/>
    </row>
    <row r="547">
      <c r="D547" s="11"/>
    </row>
    <row r="548">
      <c r="D548" s="11"/>
    </row>
    <row r="549">
      <c r="D549" s="11"/>
    </row>
    <row r="550">
      <c r="D550" s="11"/>
    </row>
    <row r="551">
      <c r="D551" s="11"/>
    </row>
    <row r="552">
      <c r="D552" s="11"/>
    </row>
    <row r="553">
      <c r="D553" s="11"/>
    </row>
    <row r="554">
      <c r="D554" s="11"/>
    </row>
    <row r="555">
      <c r="D555" s="11"/>
    </row>
    <row r="556">
      <c r="D556" s="11"/>
    </row>
    <row r="557">
      <c r="D557" s="11"/>
    </row>
    <row r="558">
      <c r="D558" s="11"/>
    </row>
    <row r="559">
      <c r="D559" s="11"/>
    </row>
    <row r="560">
      <c r="D560" s="11"/>
    </row>
    <row r="561">
      <c r="D561" s="11"/>
    </row>
    <row r="562">
      <c r="D562" s="11"/>
    </row>
    <row r="563">
      <c r="D563" s="11"/>
    </row>
    <row r="564">
      <c r="D564" s="11"/>
    </row>
    <row r="565">
      <c r="D565" s="11"/>
    </row>
    <row r="566">
      <c r="D566" s="11"/>
    </row>
    <row r="567">
      <c r="D567" s="11"/>
    </row>
    <row r="568">
      <c r="D568" s="11"/>
    </row>
    <row r="569">
      <c r="D569" s="11"/>
    </row>
    <row r="570">
      <c r="D570" s="11"/>
    </row>
    <row r="571">
      <c r="D571" s="11"/>
    </row>
    <row r="572">
      <c r="D572" s="11"/>
    </row>
    <row r="573">
      <c r="D573" s="11"/>
    </row>
    <row r="574">
      <c r="D574" s="11"/>
    </row>
    <row r="575">
      <c r="D575" s="11"/>
    </row>
    <row r="576">
      <c r="D576" s="11"/>
    </row>
    <row r="577">
      <c r="D577" s="11"/>
    </row>
    <row r="578">
      <c r="D578" s="11"/>
    </row>
    <row r="579">
      <c r="D579" s="11"/>
    </row>
    <row r="580">
      <c r="D580" s="11"/>
    </row>
    <row r="581">
      <c r="D581" s="11"/>
    </row>
    <row r="582">
      <c r="D582" s="11"/>
    </row>
    <row r="583">
      <c r="D583" s="11"/>
    </row>
    <row r="584">
      <c r="D584" s="11"/>
    </row>
    <row r="585">
      <c r="D585" s="11"/>
    </row>
    <row r="586">
      <c r="D586" s="11"/>
    </row>
    <row r="587">
      <c r="D587" s="11"/>
    </row>
    <row r="588">
      <c r="D588" s="11"/>
    </row>
    <row r="589">
      <c r="D589" s="11"/>
    </row>
    <row r="590">
      <c r="D590" s="11"/>
    </row>
    <row r="591">
      <c r="D591" s="11"/>
    </row>
    <row r="592">
      <c r="D592" s="11"/>
    </row>
    <row r="593">
      <c r="D593" s="11"/>
    </row>
    <row r="594">
      <c r="D594" s="11"/>
    </row>
    <row r="595">
      <c r="D595" s="11"/>
    </row>
    <row r="596">
      <c r="D596" s="11"/>
    </row>
    <row r="597">
      <c r="D597" s="11"/>
    </row>
    <row r="598">
      <c r="D598" s="11"/>
    </row>
    <row r="599">
      <c r="D599" s="11"/>
    </row>
    <row r="600">
      <c r="D600" s="11"/>
    </row>
    <row r="601">
      <c r="D601" s="11"/>
    </row>
    <row r="602">
      <c r="D602" s="11"/>
    </row>
    <row r="603">
      <c r="D603" s="11"/>
    </row>
    <row r="604">
      <c r="D604" s="11"/>
    </row>
    <row r="605">
      <c r="D605" s="11"/>
    </row>
    <row r="606">
      <c r="D606" s="11"/>
    </row>
    <row r="607">
      <c r="D607" s="11"/>
    </row>
    <row r="608">
      <c r="D608" s="11"/>
    </row>
    <row r="609">
      <c r="D609" s="11"/>
    </row>
    <row r="610">
      <c r="D610" s="11"/>
    </row>
    <row r="611">
      <c r="D611" s="11"/>
    </row>
    <row r="612">
      <c r="D612" s="11"/>
    </row>
    <row r="613">
      <c r="D613" s="11"/>
    </row>
    <row r="614">
      <c r="D614" s="11"/>
    </row>
    <row r="615">
      <c r="D615" s="11"/>
    </row>
    <row r="616">
      <c r="D616" s="11"/>
    </row>
    <row r="617">
      <c r="D617" s="11"/>
    </row>
    <row r="618">
      <c r="D618" s="11"/>
    </row>
    <row r="619">
      <c r="D619" s="11"/>
    </row>
    <row r="620">
      <c r="D620" s="11"/>
    </row>
    <row r="621">
      <c r="D621" s="11"/>
    </row>
    <row r="622">
      <c r="D622" s="11"/>
    </row>
    <row r="623">
      <c r="D623" s="11"/>
    </row>
    <row r="624">
      <c r="D624" s="11"/>
    </row>
    <row r="625">
      <c r="D625" s="11"/>
    </row>
    <row r="626">
      <c r="D626" s="11"/>
    </row>
    <row r="627">
      <c r="D627" s="11"/>
    </row>
    <row r="628">
      <c r="D628" s="11"/>
    </row>
    <row r="629">
      <c r="D629" s="11"/>
    </row>
    <row r="630">
      <c r="D630" s="11"/>
    </row>
    <row r="631">
      <c r="D631" s="11"/>
    </row>
    <row r="632">
      <c r="D632" s="11"/>
    </row>
    <row r="633">
      <c r="D633" s="11"/>
    </row>
    <row r="634">
      <c r="D634" s="11"/>
    </row>
    <row r="635">
      <c r="D635" s="11"/>
    </row>
    <row r="636">
      <c r="D636" s="11"/>
    </row>
    <row r="637">
      <c r="D637" s="11"/>
    </row>
    <row r="638">
      <c r="D638" s="11"/>
    </row>
    <row r="639">
      <c r="D639" s="11"/>
    </row>
    <row r="640">
      <c r="D640" s="11"/>
    </row>
    <row r="641">
      <c r="D641" s="11"/>
    </row>
    <row r="642">
      <c r="D642" s="11"/>
    </row>
    <row r="643">
      <c r="D643" s="11"/>
    </row>
    <row r="644">
      <c r="D644" s="11"/>
    </row>
    <row r="645">
      <c r="D645" s="11"/>
    </row>
    <row r="646">
      <c r="D646" s="11"/>
    </row>
    <row r="647">
      <c r="D647" s="11"/>
    </row>
    <row r="648">
      <c r="D648" s="11"/>
    </row>
    <row r="649">
      <c r="D649" s="11"/>
    </row>
    <row r="650">
      <c r="D650" s="11"/>
    </row>
    <row r="651">
      <c r="D651" s="11"/>
    </row>
    <row r="652">
      <c r="D652" s="11"/>
    </row>
    <row r="653">
      <c r="D653" s="11"/>
    </row>
    <row r="654">
      <c r="D654" s="11"/>
    </row>
    <row r="655">
      <c r="D655" s="11"/>
    </row>
    <row r="656">
      <c r="D656" s="11"/>
    </row>
    <row r="657">
      <c r="D657" s="11"/>
    </row>
    <row r="658">
      <c r="D658" s="11"/>
    </row>
    <row r="659">
      <c r="D659" s="11"/>
    </row>
    <row r="660">
      <c r="D660" s="11"/>
    </row>
    <row r="661">
      <c r="D661" s="11"/>
    </row>
    <row r="662">
      <c r="D662" s="11"/>
    </row>
    <row r="663">
      <c r="D663" s="11"/>
    </row>
    <row r="664">
      <c r="D664" s="11"/>
    </row>
    <row r="665">
      <c r="D665" s="11"/>
    </row>
    <row r="666">
      <c r="D666" s="11"/>
    </row>
    <row r="667">
      <c r="D667" s="11"/>
    </row>
    <row r="668">
      <c r="D668" s="11"/>
    </row>
    <row r="669">
      <c r="D669" s="11"/>
    </row>
    <row r="670">
      <c r="D670" s="11"/>
    </row>
    <row r="671">
      <c r="D671" s="11"/>
    </row>
    <row r="672">
      <c r="D672" s="11"/>
    </row>
    <row r="673">
      <c r="D673" s="11"/>
    </row>
    <row r="674">
      <c r="D674" s="11"/>
    </row>
    <row r="675">
      <c r="D675" s="11"/>
    </row>
    <row r="676">
      <c r="D676" s="11"/>
    </row>
    <row r="677">
      <c r="D677" s="11"/>
    </row>
    <row r="678">
      <c r="D678" s="11"/>
    </row>
    <row r="679">
      <c r="D679" s="11"/>
    </row>
    <row r="680">
      <c r="D680" s="11"/>
    </row>
    <row r="681">
      <c r="D681" s="11"/>
    </row>
    <row r="682">
      <c r="D682" s="11"/>
    </row>
    <row r="683">
      <c r="D683" s="11"/>
    </row>
    <row r="684">
      <c r="D684" s="11"/>
    </row>
    <row r="685">
      <c r="D685" s="11"/>
    </row>
    <row r="686">
      <c r="D686" s="11"/>
    </row>
    <row r="687">
      <c r="D687" s="11"/>
    </row>
    <row r="688">
      <c r="D688" s="11"/>
    </row>
    <row r="689">
      <c r="D689" s="11"/>
    </row>
    <row r="690">
      <c r="D690" s="11"/>
    </row>
    <row r="691">
      <c r="D691" s="11"/>
    </row>
    <row r="692">
      <c r="D692" s="11"/>
    </row>
    <row r="693">
      <c r="D693" s="11"/>
    </row>
    <row r="694">
      <c r="D694" s="11"/>
    </row>
    <row r="695">
      <c r="D695" s="11"/>
    </row>
    <row r="696">
      <c r="D696" s="11"/>
    </row>
    <row r="697">
      <c r="D697" s="11"/>
    </row>
    <row r="698">
      <c r="D698" s="11"/>
    </row>
    <row r="699">
      <c r="D699" s="11"/>
    </row>
    <row r="700">
      <c r="D700" s="11"/>
    </row>
    <row r="701">
      <c r="D701" s="11"/>
    </row>
    <row r="702">
      <c r="D702" s="11"/>
    </row>
    <row r="703">
      <c r="D703" s="11"/>
    </row>
    <row r="704">
      <c r="D704" s="11"/>
    </row>
    <row r="705">
      <c r="D705" s="11"/>
    </row>
    <row r="706">
      <c r="D706" s="11"/>
    </row>
    <row r="707">
      <c r="D707" s="11"/>
    </row>
    <row r="708">
      <c r="D708" s="11"/>
    </row>
    <row r="709">
      <c r="D709" s="11"/>
    </row>
    <row r="710">
      <c r="D710" s="11"/>
    </row>
    <row r="711">
      <c r="D711" s="11"/>
    </row>
    <row r="712">
      <c r="D712" s="11"/>
    </row>
    <row r="713">
      <c r="D713" s="11"/>
    </row>
    <row r="714">
      <c r="D714" s="11"/>
    </row>
    <row r="715">
      <c r="D715" s="11"/>
    </row>
    <row r="716">
      <c r="D716" s="11"/>
    </row>
    <row r="717">
      <c r="D717" s="11"/>
    </row>
    <row r="718">
      <c r="D718" s="11"/>
    </row>
    <row r="719">
      <c r="D719" s="11"/>
    </row>
    <row r="720">
      <c r="D720" s="11"/>
    </row>
    <row r="721">
      <c r="D721" s="11"/>
    </row>
    <row r="722">
      <c r="D722" s="11"/>
    </row>
    <row r="723">
      <c r="D723" s="11"/>
    </row>
    <row r="724">
      <c r="D724" s="11"/>
    </row>
    <row r="725">
      <c r="D725" s="11"/>
    </row>
    <row r="726">
      <c r="D726" s="11"/>
    </row>
    <row r="727">
      <c r="D727" s="11"/>
    </row>
    <row r="728">
      <c r="D728" s="11"/>
    </row>
    <row r="729">
      <c r="D729" s="11"/>
    </row>
    <row r="730">
      <c r="D730" s="11"/>
    </row>
    <row r="731">
      <c r="D731" s="11"/>
    </row>
    <row r="732">
      <c r="D732" s="11"/>
    </row>
    <row r="733">
      <c r="D733" s="11"/>
    </row>
    <row r="734">
      <c r="D734" s="11"/>
    </row>
    <row r="735">
      <c r="D735" s="11"/>
    </row>
    <row r="736">
      <c r="D736" s="11"/>
    </row>
    <row r="737">
      <c r="D737" s="11"/>
    </row>
    <row r="738">
      <c r="D738" s="11"/>
    </row>
    <row r="739">
      <c r="D739" s="11"/>
    </row>
    <row r="740">
      <c r="D740" s="11"/>
    </row>
    <row r="741">
      <c r="D741" s="11"/>
    </row>
    <row r="742">
      <c r="D742" s="11"/>
    </row>
    <row r="743">
      <c r="D743" s="11"/>
    </row>
    <row r="744">
      <c r="D744" s="11"/>
    </row>
    <row r="745">
      <c r="D745" s="11"/>
    </row>
    <row r="746">
      <c r="D746" s="11"/>
    </row>
    <row r="747">
      <c r="D747" s="11"/>
    </row>
    <row r="748">
      <c r="D748" s="11"/>
    </row>
    <row r="749">
      <c r="D749" s="11"/>
    </row>
    <row r="750">
      <c r="D750" s="11"/>
    </row>
    <row r="751">
      <c r="D751" s="11"/>
    </row>
    <row r="752">
      <c r="D752" s="11"/>
    </row>
    <row r="753">
      <c r="D753" s="11"/>
    </row>
    <row r="754">
      <c r="D754" s="11"/>
    </row>
    <row r="755">
      <c r="D755" s="11"/>
    </row>
    <row r="756">
      <c r="D756" s="11"/>
    </row>
    <row r="757">
      <c r="D757" s="11"/>
    </row>
    <row r="758">
      <c r="D758" s="11"/>
    </row>
    <row r="759">
      <c r="D759" s="11"/>
    </row>
    <row r="760">
      <c r="D760" s="11"/>
    </row>
    <row r="761">
      <c r="D761" s="11"/>
    </row>
    <row r="762">
      <c r="D762" s="11"/>
    </row>
    <row r="763">
      <c r="D763" s="11"/>
    </row>
    <row r="764">
      <c r="D764" s="11"/>
    </row>
    <row r="765">
      <c r="D765" s="11"/>
    </row>
    <row r="766">
      <c r="D766" s="11"/>
    </row>
    <row r="767">
      <c r="D767" s="11"/>
    </row>
    <row r="768">
      <c r="D768" s="11"/>
    </row>
    <row r="769">
      <c r="D769" s="11"/>
    </row>
    <row r="770">
      <c r="D770" s="11"/>
    </row>
    <row r="771">
      <c r="D771" s="11"/>
    </row>
    <row r="772">
      <c r="D772" s="11"/>
    </row>
    <row r="773">
      <c r="D773" s="11"/>
    </row>
    <row r="774">
      <c r="D774" s="11"/>
    </row>
    <row r="775">
      <c r="D775" s="11"/>
    </row>
    <row r="776">
      <c r="D776" s="11"/>
    </row>
    <row r="777">
      <c r="D777" s="11"/>
    </row>
    <row r="778">
      <c r="D778" s="11"/>
    </row>
    <row r="779">
      <c r="D779" s="11"/>
    </row>
    <row r="780">
      <c r="D780" s="11"/>
    </row>
    <row r="781">
      <c r="D781" s="11"/>
    </row>
    <row r="782">
      <c r="D782" s="11"/>
    </row>
    <row r="783">
      <c r="D783" s="11"/>
    </row>
    <row r="784">
      <c r="D784" s="11"/>
    </row>
    <row r="785">
      <c r="D785" s="11"/>
    </row>
    <row r="786">
      <c r="D786" s="11"/>
    </row>
    <row r="787">
      <c r="D787" s="11"/>
    </row>
    <row r="788">
      <c r="D788" s="11"/>
    </row>
    <row r="789">
      <c r="D789" s="11"/>
    </row>
    <row r="790">
      <c r="D790" s="11"/>
    </row>
    <row r="791">
      <c r="D791" s="11"/>
    </row>
    <row r="792">
      <c r="D792" s="11"/>
    </row>
    <row r="793">
      <c r="D793" s="11"/>
    </row>
    <row r="794">
      <c r="D794" s="11"/>
    </row>
    <row r="795">
      <c r="D795" s="11"/>
    </row>
    <row r="796">
      <c r="D796" s="11"/>
    </row>
    <row r="797">
      <c r="D797" s="11"/>
    </row>
    <row r="798">
      <c r="D798" s="11"/>
    </row>
    <row r="799">
      <c r="D799" s="11"/>
    </row>
    <row r="800">
      <c r="D800" s="11"/>
    </row>
    <row r="801">
      <c r="D801" s="11"/>
    </row>
    <row r="802">
      <c r="D802" s="11"/>
    </row>
    <row r="803">
      <c r="D803" s="11"/>
    </row>
    <row r="804">
      <c r="D804" s="11"/>
    </row>
    <row r="805">
      <c r="D805" s="11"/>
    </row>
    <row r="806">
      <c r="D806" s="11"/>
    </row>
    <row r="807">
      <c r="D807" s="11"/>
    </row>
    <row r="808">
      <c r="D808" s="11"/>
    </row>
    <row r="809">
      <c r="D809" s="11"/>
    </row>
    <row r="810">
      <c r="D810" s="11"/>
    </row>
    <row r="811">
      <c r="D811" s="11"/>
    </row>
    <row r="812">
      <c r="D812" s="11"/>
    </row>
    <row r="813">
      <c r="D813" s="11"/>
    </row>
    <row r="814">
      <c r="D814" s="11"/>
    </row>
    <row r="815">
      <c r="D815" s="11"/>
    </row>
    <row r="816">
      <c r="D816" s="11"/>
    </row>
    <row r="817">
      <c r="D817" s="11"/>
    </row>
    <row r="818">
      <c r="D818" s="11"/>
    </row>
    <row r="819">
      <c r="D819" s="11"/>
    </row>
    <row r="820">
      <c r="D820" s="11"/>
    </row>
    <row r="821">
      <c r="D821" s="11"/>
    </row>
    <row r="822">
      <c r="D822" s="11"/>
    </row>
    <row r="823">
      <c r="D823" s="11"/>
    </row>
    <row r="824">
      <c r="D824" s="11"/>
    </row>
    <row r="825">
      <c r="D825" s="11"/>
    </row>
    <row r="826">
      <c r="D826" s="11"/>
    </row>
    <row r="827">
      <c r="D827" s="11"/>
    </row>
    <row r="828">
      <c r="D828" s="11"/>
    </row>
    <row r="829">
      <c r="D829" s="11"/>
    </row>
    <row r="830">
      <c r="D830" s="11"/>
    </row>
    <row r="831">
      <c r="D831" s="11"/>
    </row>
    <row r="832">
      <c r="D832" s="11"/>
    </row>
    <row r="833">
      <c r="D833" s="11"/>
    </row>
    <row r="834">
      <c r="D834" s="11"/>
    </row>
    <row r="835">
      <c r="D835" s="11"/>
    </row>
    <row r="836">
      <c r="D836" s="11"/>
    </row>
    <row r="837">
      <c r="D837" s="11"/>
    </row>
    <row r="838">
      <c r="D838" s="11"/>
    </row>
    <row r="839">
      <c r="D839" s="11"/>
    </row>
    <row r="840">
      <c r="D840" s="11"/>
    </row>
    <row r="841">
      <c r="D841" s="11"/>
    </row>
    <row r="842">
      <c r="D842" s="11"/>
    </row>
    <row r="843">
      <c r="D843" s="11"/>
    </row>
    <row r="844">
      <c r="D844" s="11"/>
    </row>
    <row r="845">
      <c r="D845" s="11"/>
    </row>
    <row r="846">
      <c r="D846" s="11"/>
    </row>
    <row r="847">
      <c r="D847" s="11"/>
    </row>
    <row r="848">
      <c r="D848" s="11"/>
    </row>
    <row r="849">
      <c r="D849" s="11"/>
    </row>
    <row r="850">
      <c r="D850" s="11"/>
    </row>
    <row r="851">
      <c r="D851" s="11"/>
    </row>
    <row r="852">
      <c r="D852" s="11"/>
    </row>
    <row r="853">
      <c r="D853" s="11"/>
    </row>
    <row r="854">
      <c r="D854" s="11"/>
    </row>
    <row r="855">
      <c r="D855" s="11"/>
    </row>
    <row r="856">
      <c r="D856" s="11"/>
    </row>
    <row r="857">
      <c r="D857" s="11"/>
    </row>
    <row r="858">
      <c r="D858" s="11"/>
    </row>
    <row r="859">
      <c r="D859" s="11"/>
    </row>
    <row r="860">
      <c r="D860" s="11"/>
    </row>
    <row r="861">
      <c r="D861" s="11"/>
    </row>
    <row r="862">
      <c r="D862" s="11"/>
    </row>
    <row r="863">
      <c r="D863" s="11"/>
    </row>
    <row r="864">
      <c r="D864" s="11"/>
    </row>
    <row r="865">
      <c r="D865" s="11"/>
    </row>
    <row r="866">
      <c r="D866" s="11"/>
    </row>
    <row r="867">
      <c r="D867" s="11"/>
    </row>
    <row r="868">
      <c r="D868" s="11"/>
    </row>
    <row r="869">
      <c r="D869" s="11"/>
    </row>
    <row r="870">
      <c r="D870" s="11"/>
    </row>
    <row r="871">
      <c r="D871" s="11"/>
    </row>
    <row r="872">
      <c r="D872" s="11"/>
    </row>
    <row r="873">
      <c r="D873" s="11"/>
    </row>
    <row r="874">
      <c r="D874" s="11"/>
    </row>
    <row r="875">
      <c r="D875" s="11"/>
    </row>
    <row r="876">
      <c r="D876" s="11"/>
    </row>
    <row r="877">
      <c r="D877" s="11"/>
    </row>
    <row r="878">
      <c r="D878" s="11"/>
    </row>
    <row r="879">
      <c r="D879" s="11"/>
    </row>
    <row r="880">
      <c r="D880" s="11"/>
    </row>
    <row r="881">
      <c r="D881" s="11"/>
    </row>
    <row r="882">
      <c r="D882" s="11"/>
    </row>
    <row r="883">
      <c r="D883" s="11"/>
    </row>
    <row r="884">
      <c r="D884" s="11"/>
    </row>
    <row r="885">
      <c r="D885" s="11"/>
    </row>
    <row r="886">
      <c r="D886" s="11"/>
    </row>
    <row r="887">
      <c r="D887" s="11"/>
    </row>
    <row r="888">
      <c r="D888" s="11"/>
    </row>
    <row r="889">
      <c r="D889" s="11"/>
    </row>
    <row r="890">
      <c r="D890" s="11"/>
    </row>
    <row r="891">
      <c r="D891" s="11"/>
    </row>
    <row r="892">
      <c r="D892" s="11"/>
    </row>
    <row r="893">
      <c r="D893" s="11"/>
    </row>
    <row r="894">
      <c r="D894" s="11"/>
    </row>
    <row r="895">
      <c r="D895" s="11"/>
    </row>
    <row r="896">
      <c r="D896" s="11"/>
    </row>
    <row r="897">
      <c r="D897" s="11"/>
    </row>
    <row r="898">
      <c r="D898" s="11"/>
    </row>
    <row r="899">
      <c r="D899" s="11"/>
    </row>
    <row r="900">
      <c r="D900" s="11"/>
    </row>
    <row r="901">
      <c r="D901" s="11"/>
    </row>
    <row r="902">
      <c r="D902" s="11"/>
    </row>
    <row r="903">
      <c r="D903" s="11"/>
    </row>
    <row r="904">
      <c r="D904" s="11"/>
    </row>
    <row r="905">
      <c r="D905" s="11"/>
    </row>
    <row r="906">
      <c r="D906" s="11"/>
    </row>
    <row r="907">
      <c r="D907" s="11"/>
    </row>
    <row r="908">
      <c r="D908" s="11"/>
    </row>
    <row r="909">
      <c r="D909" s="11"/>
    </row>
    <row r="910">
      <c r="D910" s="11"/>
    </row>
    <row r="911">
      <c r="D911" s="11"/>
    </row>
    <row r="912">
      <c r="D912" s="11"/>
    </row>
    <row r="913">
      <c r="D913" s="11"/>
    </row>
    <row r="914">
      <c r="D914" s="11"/>
    </row>
    <row r="915">
      <c r="D915" s="11"/>
    </row>
    <row r="916">
      <c r="D916" s="11"/>
    </row>
    <row r="917">
      <c r="D917" s="11"/>
    </row>
    <row r="918">
      <c r="D918" s="11"/>
    </row>
    <row r="919">
      <c r="D919" s="11"/>
    </row>
    <row r="920">
      <c r="D920" s="11"/>
    </row>
    <row r="921">
      <c r="D921" s="11"/>
    </row>
    <row r="922">
      <c r="D922" s="11"/>
    </row>
    <row r="923">
      <c r="D923" s="11"/>
    </row>
    <row r="924">
      <c r="D924" s="11"/>
    </row>
    <row r="925">
      <c r="D925" s="11"/>
    </row>
    <row r="926">
      <c r="D926" s="11"/>
    </row>
    <row r="927">
      <c r="D927" s="11"/>
    </row>
    <row r="928">
      <c r="D928" s="11"/>
    </row>
    <row r="929">
      <c r="D929" s="11"/>
    </row>
    <row r="930">
      <c r="D930" s="11"/>
    </row>
    <row r="931">
      <c r="D931" s="11"/>
    </row>
    <row r="932">
      <c r="D932" s="11"/>
    </row>
    <row r="933">
      <c r="D933" s="11"/>
    </row>
    <row r="934">
      <c r="D934" s="11"/>
    </row>
    <row r="935">
      <c r="D935" s="11"/>
    </row>
    <row r="936">
      <c r="D936" s="11"/>
    </row>
    <row r="937">
      <c r="D937" s="11"/>
    </row>
    <row r="938">
      <c r="D938" s="11"/>
    </row>
    <row r="939">
      <c r="D939" s="11"/>
    </row>
    <row r="940">
      <c r="D940" s="11"/>
    </row>
    <row r="941">
      <c r="D941" s="11"/>
    </row>
    <row r="942">
      <c r="D942" s="11"/>
    </row>
    <row r="943">
      <c r="D943" s="11"/>
    </row>
    <row r="944">
      <c r="D944" s="11"/>
    </row>
    <row r="945">
      <c r="D945" s="11"/>
    </row>
    <row r="946">
      <c r="D946" s="11"/>
    </row>
    <row r="947">
      <c r="D947" s="11"/>
    </row>
    <row r="948">
      <c r="D948" s="11"/>
    </row>
    <row r="949">
      <c r="D949" s="11"/>
    </row>
    <row r="950">
      <c r="D950" s="11"/>
    </row>
    <row r="951">
      <c r="D951" s="11"/>
    </row>
    <row r="952">
      <c r="D952" s="11"/>
    </row>
    <row r="953">
      <c r="D953" s="11"/>
    </row>
    <row r="954">
      <c r="D954" s="11"/>
    </row>
    <row r="955">
      <c r="D955" s="11"/>
    </row>
    <row r="956">
      <c r="D956" s="11"/>
    </row>
    <row r="957">
      <c r="D957" s="11"/>
    </row>
    <row r="958">
      <c r="D958" s="11"/>
    </row>
    <row r="959">
      <c r="D959" s="11"/>
    </row>
    <row r="960">
      <c r="D960" s="11"/>
    </row>
    <row r="961">
      <c r="D961" s="11"/>
    </row>
    <row r="962">
      <c r="D962" s="11"/>
    </row>
    <row r="963">
      <c r="D963" s="11"/>
    </row>
    <row r="964">
      <c r="D964" s="11"/>
    </row>
    <row r="965">
      <c r="D965" s="11"/>
    </row>
    <row r="966">
      <c r="D966" s="11"/>
    </row>
    <row r="967">
      <c r="D967" s="11"/>
    </row>
    <row r="968">
      <c r="D968" s="11"/>
    </row>
    <row r="969">
      <c r="D969" s="11"/>
    </row>
    <row r="970">
      <c r="D970" s="11"/>
    </row>
    <row r="971">
      <c r="D971" s="11"/>
    </row>
    <row r="972">
      <c r="D972" s="11"/>
    </row>
    <row r="973">
      <c r="D973" s="11"/>
    </row>
    <row r="974">
      <c r="D974" s="11"/>
    </row>
    <row r="975">
      <c r="D975" s="11"/>
    </row>
    <row r="976">
      <c r="D976" s="11"/>
    </row>
    <row r="977">
      <c r="D977" s="11"/>
    </row>
    <row r="978">
      <c r="D978" s="11"/>
    </row>
    <row r="979">
      <c r="D979" s="11"/>
    </row>
    <row r="980">
      <c r="D980" s="11"/>
    </row>
    <row r="981">
      <c r="D981" s="11"/>
    </row>
    <row r="982">
      <c r="D982" s="11"/>
    </row>
    <row r="983">
      <c r="D983" s="11"/>
    </row>
    <row r="984">
      <c r="D984" s="11"/>
    </row>
    <row r="985">
      <c r="D985" s="11"/>
    </row>
    <row r="986">
      <c r="D986" s="11"/>
    </row>
    <row r="987">
      <c r="D987" s="11"/>
    </row>
    <row r="988">
      <c r="D988" s="11"/>
    </row>
    <row r="989">
      <c r="D989" s="11"/>
    </row>
    <row r="990">
      <c r="D990" s="11"/>
    </row>
    <row r="991">
      <c r="D991" s="11"/>
    </row>
    <row r="992">
      <c r="D992" s="11"/>
    </row>
    <row r="993">
      <c r="D993" s="11"/>
    </row>
    <row r="994">
      <c r="D994" s="11"/>
    </row>
    <row r="995">
      <c r="D995" s="11"/>
    </row>
    <row r="996">
      <c r="D996" s="11"/>
    </row>
    <row r="997">
      <c r="D997" s="11"/>
    </row>
    <row r="998">
      <c r="D998" s="11"/>
    </row>
    <row r="999">
      <c r="D999" s="11"/>
    </row>
    <row r="1000">
      <c r="D1000" s="11"/>
    </row>
  </sheetData>
  <conditionalFormatting sqref="D2:D284">
    <cfRule type="expression" dxfId="0" priority="1" stopIfTrue="1">
      <formula>COUNTIF($D$2:$D$284,D2)&gt;1</formula>
    </cfRule>
  </conditionalFormatting>
  <drawing r:id="rId1"/>
</worksheet>
</file>